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2035" windowHeight="11055" activeTab="2"/>
  </bookViews>
  <sheets>
    <sheet name="ZeroOdom" sheetId="2" r:id="rId1"/>
    <sheet name="NonZeroOdom" sheetId="1" r:id="rId2"/>
    <sheet name="ROS Zero VS NonZero" sheetId="3" r:id="rId3"/>
    <sheet name="WIN Zero VS NonZero" sheetId="4" r:id="rId4"/>
  </sheets>
  <calcPr calcId="145621"/>
</workbook>
</file>

<file path=xl/calcChain.xml><?xml version="1.0" encoding="utf-8"?>
<calcChain xmlns="http://schemas.openxmlformats.org/spreadsheetml/2006/main">
  <c r="N9" i="3" l="1"/>
  <c r="N12" i="3"/>
  <c r="N13" i="3"/>
  <c r="N14" i="3"/>
  <c r="N17" i="3"/>
  <c r="N20" i="3"/>
  <c r="N21" i="3"/>
  <c r="N22" i="3"/>
  <c r="N25" i="3"/>
  <c r="N28" i="3"/>
  <c r="N29" i="3"/>
  <c r="N30" i="3"/>
  <c r="N33" i="3"/>
  <c r="N36" i="3"/>
  <c r="N37" i="3"/>
  <c r="L37" i="4"/>
  <c r="O37" i="4" s="1"/>
  <c r="K37" i="4"/>
  <c r="N37" i="4" s="1"/>
  <c r="L36" i="4"/>
  <c r="O36" i="4" s="1"/>
  <c r="K36" i="4"/>
  <c r="N36" i="4" s="1"/>
  <c r="L35" i="4"/>
  <c r="O35" i="4" s="1"/>
  <c r="K35" i="4"/>
  <c r="N35" i="4" s="1"/>
  <c r="L34" i="4"/>
  <c r="O34" i="4" s="1"/>
  <c r="K34" i="4"/>
  <c r="N34" i="4" s="1"/>
  <c r="L33" i="4"/>
  <c r="O33" i="4" s="1"/>
  <c r="K33" i="4"/>
  <c r="N33" i="4" s="1"/>
  <c r="L32" i="4"/>
  <c r="O32" i="4" s="1"/>
  <c r="K32" i="4"/>
  <c r="N32" i="4" s="1"/>
  <c r="L31" i="4"/>
  <c r="O31" i="4" s="1"/>
  <c r="K31" i="4"/>
  <c r="N31" i="4" s="1"/>
  <c r="L30" i="4"/>
  <c r="O30" i="4" s="1"/>
  <c r="K30" i="4"/>
  <c r="N30" i="4" s="1"/>
  <c r="L29" i="4"/>
  <c r="O29" i="4" s="1"/>
  <c r="K29" i="4"/>
  <c r="N29" i="4" s="1"/>
  <c r="L28" i="4"/>
  <c r="O28" i="4" s="1"/>
  <c r="K28" i="4"/>
  <c r="N28" i="4" s="1"/>
  <c r="L27" i="4"/>
  <c r="O27" i="4" s="1"/>
  <c r="K27" i="4"/>
  <c r="N27" i="4" s="1"/>
  <c r="L26" i="4"/>
  <c r="O26" i="4" s="1"/>
  <c r="K26" i="4"/>
  <c r="N26" i="4" s="1"/>
  <c r="L25" i="4"/>
  <c r="O25" i="4" s="1"/>
  <c r="K25" i="4"/>
  <c r="N25" i="4" s="1"/>
  <c r="L24" i="4"/>
  <c r="O24" i="4" s="1"/>
  <c r="K24" i="4"/>
  <c r="N24" i="4" s="1"/>
  <c r="L23" i="4"/>
  <c r="O23" i="4" s="1"/>
  <c r="K23" i="4"/>
  <c r="N23" i="4" s="1"/>
  <c r="L22" i="4"/>
  <c r="O22" i="4" s="1"/>
  <c r="K22" i="4"/>
  <c r="N22" i="4" s="1"/>
  <c r="L21" i="4"/>
  <c r="O21" i="4" s="1"/>
  <c r="K21" i="4"/>
  <c r="N21" i="4" s="1"/>
  <c r="L20" i="4"/>
  <c r="O20" i="4" s="1"/>
  <c r="K20" i="4"/>
  <c r="N20" i="4" s="1"/>
  <c r="L19" i="4"/>
  <c r="O19" i="4" s="1"/>
  <c r="K19" i="4"/>
  <c r="N19" i="4" s="1"/>
  <c r="L18" i="4"/>
  <c r="O18" i="4" s="1"/>
  <c r="K18" i="4"/>
  <c r="N18" i="4" s="1"/>
  <c r="L17" i="4"/>
  <c r="O17" i="4" s="1"/>
  <c r="K17" i="4"/>
  <c r="N17" i="4" s="1"/>
  <c r="L16" i="4"/>
  <c r="O16" i="4" s="1"/>
  <c r="K16" i="4"/>
  <c r="N16" i="4" s="1"/>
  <c r="L15" i="4"/>
  <c r="O15" i="4" s="1"/>
  <c r="K15" i="4"/>
  <c r="N15" i="4" s="1"/>
  <c r="L14" i="4"/>
  <c r="O14" i="4" s="1"/>
  <c r="K14" i="4"/>
  <c r="N14" i="4" s="1"/>
  <c r="L13" i="4"/>
  <c r="O13" i="4" s="1"/>
  <c r="K13" i="4"/>
  <c r="N13" i="4" s="1"/>
  <c r="L12" i="4"/>
  <c r="O12" i="4" s="1"/>
  <c r="K12" i="4"/>
  <c r="N12" i="4" s="1"/>
  <c r="L11" i="4"/>
  <c r="O11" i="4" s="1"/>
  <c r="K11" i="4"/>
  <c r="N11" i="4" s="1"/>
  <c r="L10" i="4"/>
  <c r="O10" i="4" s="1"/>
  <c r="K10" i="4"/>
  <c r="N10" i="4" s="1"/>
  <c r="L9" i="4"/>
  <c r="O9" i="4" s="1"/>
  <c r="K9" i="4"/>
  <c r="N9" i="4" s="1"/>
  <c r="L8" i="4"/>
  <c r="K8" i="4"/>
  <c r="L37" i="3"/>
  <c r="O37" i="3" s="1"/>
  <c r="K37" i="3"/>
  <c r="L36" i="3"/>
  <c r="O36" i="3" s="1"/>
  <c r="K36" i="3"/>
  <c r="L35" i="3"/>
  <c r="O35" i="3" s="1"/>
  <c r="K35" i="3"/>
  <c r="N35" i="3" s="1"/>
  <c r="L34" i="3"/>
  <c r="O34" i="3" s="1"/>
  <c r="K34" i="3"/>
  <c r="N34" i="3" s="1"/>
  <c r="L33" i="3"/>
  <c r="O33" i="3" s="1"/>
  <c r="K33" i="3"/>
  <c r="L32" i="3"/>
  <c r="O32" i="3" s="1"/>
  <c r="K32" i="3"/>
  <c r="N32" i="3" s="1"/>
  <c r="L31" i="3"/>
  <c r="O31" i="3" s="1"/>
  <c r="K31" i="3"/>
  <c r="N31" i="3" s="1"/>
  <c r="L30" i="3"/>
  <c r="O30" i="3" s="1"/>
  <c r="K30" i="3"/>
  <c r="L29" i="3"/>
  <c r="O29" i="3" s="1"/>
  <c r="K29" i="3"/>
  <c r="L28" i="3"/>
  <c r="O28" i="3" s="1"/>
  <c r="K28" i="3"/>
  <c r="L27" i="3"/>
  <c r="O27" i="3" s="1"/>
  <c r="K27" i="3"/>
  <c r="N27" i="3" s="1"/>
  <c r="L26" i="3"/>
  <c r="O26" i="3" s="1"/>
  <c r="K26" i="3"/>
  <c r="N26" i="3" s="1"/>
  <c r="L25" i="3"/>
  <c r="O25" i="3" s="1"/>
  <c r="K25" i="3"/>
  <c r="L24" i="3"/>
  <c r="O24" i="3" s="1"/>
  <c r="K24" i="3"/>
  <c r="N24" i="3" s="1"/>
  <c r="L23" i="3"/>
  <c r="O23" i="3" s="1"/>
  <c r="K23" i="3"/>
  <c r="N23" i="3" s="1"/>
  <c r="L22" i="3"/>
  <c r="O22" i="3" s="1"/>
  <c r="K22" i="3"/>
  <c r="L21" i="3"/>
  <c r="O21" i="3" s="1"/>
  <c r="K21" i="3"/>
  <c r="L20" i="3"/>
  <c r="O20" i="3" s="1"/>
  <c r="K20" i="3"/>
  <c r="L19" i="3"/>
  <c r="O19" i="3" s="1"/>
  <c r="K19" i="3"/>
  <c r="N19" i="3" s="1"/>
  <c r="L18" i="3"/>
  <c r="O18" i="3" s="1"/>
  <c r="K18" i="3"/>
  <c r="N18" i="3" s="1"/>
  <c r="L17" i="3"/>
  <c r="O17" i="3" s="1"/>
  <c r="K17" i="3"/>
  <c r="L16" i="3"/>
  <c r="O16" i="3" s="1"/>
  <c r="K16" i="3"/>
  <c r="N16" i="3" s="1"/>
  <c r="L15" i="3"/>
  <c r="O15" i="3" s="1"/>
  <c r="K15" i="3"/>
  <c r="N15" i="3" s="1"/>
  <c r="L14" i="3"/>
  <c r="O14" i="3" s="1"/>
  <c r="K14" i="3"/>
  <c r="L13" i="3"/>
  <c r="O13" i="3" s="1"/>
  <c r="K13" i="3"/>
  <c r="L12" i="3"/>
  <c r="O12" i="3" s="1"/>
  <c r="K12" i="3"/>
  <c r="L11" i="3"/>
  <c r="O11" i="3" s="1"/>
  <c r="K11" i="3"/>
  <c r="N11" i="3" s="1"/>
  <c r="L10" i="3"/>
  <c r="O10" i="3" s="1"/>
  <c r="K10" i="3"/>
  <c r="N10" i="3" s="1"/>
  <c r="L9" i="3"/>
  <c r="O9" i="3" s="1"/>
  <c r="K9" i="3"/>
  <c r="L8" i="3"/>
  <c r="K8" i="3"/>
  <c r="U8" i="2" l="1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9" i="2"/>
  <c r="O36" i="2" l="1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8" i="1" l="1"/>
  <c r="U8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9" i="1"/>
  <c r="O29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33" i="1"/>
  <c r="O34" i="1"/>
  <c r="O35" i="1"/>
  <c r="O36" i="1"/>
</calcChain>
</file>

<file path=xl/sharedStrings.xml><?xml version="1.0" encoding="utf-8"?>
<sst xmlns="http://schemas.openxmlformats.org/spreadsheetml/2006/main" count="282" uniqueCount="32">
  <si>
    <t>ROS TrajectoryOut</t>
  </si>
  <si>
    <t>x</t>
  </si>
  <si>
    <t>y</t>
  </si>
  <si>
    <t>Win TrajectoryOut</t>
  </si>
  <si>
    <t>px</t>
  </si>
  <si>
    <t>py</t>
  </si>
  <si>
    <t>VFOV</t>
  </si>
  <si>
    <t>HFOV</t>
  </si>
  <si>
    <t>deg</t>
  </si>
  <si>
    <t>pixel</t>
  </si>
  <si>
    <t>tilt</t>
  </si>
  <si>
    <t>pan</t>
  </si>
  <si>
    <t>CamH</t>
  </si>
  <si>
    <t>m</t>
  </si>
  <si>
    <t>Camera Parameters</t>
  </si>
  <si>
    <t>STEP</t>
  </si>
  <si>
    <t>No</t>
  </si>
  <si>
    <t>True Odometry</t>
  </si>
  <si>
    <t>ROS error (%)</t>
  </si>
  <si>
    <t>WIN error (%)</t>
  </si>
  <si>
    <t>NA</t>
  </si>
  <si>
    <r>
      <t>These results were obtained by processing the images from "</t>
    </r>
    <r>
      <rPr>
        <b/>
        <i/>
        <sz val="11"/>
        <color theme="1"/>
        <rFont val="Calibri"/>
        <family val="2"/>
        <scheme val="minor"/>
      </rPr>
      <t>pmslam_test_data_2011_11_03</t>
    </r>
    <r>
      <rPr>
        <b/>
        <sz val="11"/>
        <color theme="1"/>
        <rFont val="Calibri"/>
        <family val="2"/>
        <scheme val="minor"/>
      </rPr>
      <t>" in ROS and windows versions of PMSLAM with actual wheel odometry input in trajectory.fli</t>
    </r>
  </si>
  <si>
    <r>
      <t>These results were obtained by processing the images from "</t>
    </r>
    <r>
      <rPr>
        <b/>
        <i/>
        <sz val="11"/>
        <color theme="1"/>
        <rFont val="Calibri"/>
        <family val="2"/>
        <scheme val="minor"/>
      </rPr>
      <t>pmslam_test_data_2011_11_03</t>
    </r>
    <r>
      <rPr>
        <b/>
        <sz val="11"/>
        <color theme="1"/>
        <rFont val="Calibri"/>
        <family val="2"/>
        <scheme val="minor"/>
      </rPr>
      <t>" in ROS and windows versions of PMSLAM with zero odometry input in trajectory.fli</t>
    </r>
  </si>
  <si>
    <r>
      <t>These results were obtained by processing the images from "</t>
    </r>
    <r>
      <rPr>
        <b/>
        <i/>
        <sz val="11"/>
        <color theme="1"/>
        <rFont val="Calibri"/>
        <family val="2"/>
        <scheme val="minor"/>
      </rPr>
      <t>pmslam_test_data_2011_11_03</t>
    </r>
    <r>
      <rPr>
        <b/>
        <sz val="11"/>
        <color theme="1"/>
        <rFont val="Calibri"/>
        <family val="2"/>
        <scheme val="minor"/>
      </rPr>
      <t>" in ROS version of PMSLAM with (x,y) of the odometry set as zeros and set to true shaft encoder readings</t>
    </r>
  </si>
  <si>
    <t>TrajectoryOut</t>
  </si>
  <si>
    <t>Zero Odometry</t>
  </si>
  <si>
    <t>NonZero Odometry</t>
  </si>
  <si>
    <t>Difference</t>
  </si>
  <si>
    <t>error (%)</t>
  </si>
  <si>
    <t>dx</t>
  </si>
  <si>
    <t>dy</t>
  </si>
  <si>
    <r>
      <t>These results were obtained by processing the images from "</t>
    </r>
    <r>
      <rPr>
        <b/>
        <i/>
        <sz val="11"/>
        <color theme="1"/>
        <rFont val="Calibri"/>
        <family val="2"/>
        <scheme val="minor"/>
      </rPr>
      <t>pmslam_test_data_2011_11_03</t>
    </r>
    <r>
      <rPr>
        <b/>
        <sz val="11"/>
        <color theme="1"/>
        <rFont val="Calibri"/>
        <family val="2"/>
        <scheme val="minor"/>
      </rPr>
      <t>" in Windows version of PMSLAM with (x,y) of the odometry set as zeros and set to true shaft encoder readings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</si>
</sst>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1" fillId="0" borderId="3" xfId="0" applyNumberFormat="1" applyFont="1" applyBorder="1" applyAlignment="1">
      <alignment horizontal="left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4" xfId="0" applyNumberFormat="1" applyBorder="1"/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4" xfId="0" applyBorder="1"/>
    <xf numFmtId="164" fontId="1" fillId="0" borderId="7" xfId="0" applyNumberFormat="1" applyFont="1" applyBorder="1"/>
    <xf numFmtId="0" fontId="1" fillId="0" borderId="7" xfId="0" applyFont="1" applyBorder="1"/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7" xfId="0" applyNumberFormat="1" applyBorder="1"/>
    <xf numFmtId="0" fontId="0" fillId="0" borderId="7" xfId="0" applyBorder="1"/>
    <xf numFmtId="164" fontId="0" fillId="0" borderId="0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1" xfId="0" applyNumberFormat="1" applyBorder="1"/>
    <xf numFmtId="0" fontId="0" fillId="0" borderId="11" xfId="0" applyBorder="1"/>
    <xf numFmtId="164" fontId="1" fillId="0" borderId="0" xfId="0" applyNumberFormat="1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/>
    <xf numFmtId="0" fontId="1" fillId="0" borderId="8" xfId="0" applyFont="1" applyBorder="1"/>
    <xf numFmtId="164" fontId="1" fillId="0" borderId="6" xfId="0" applyNumberFormat="1" applyFont="1" applyBorder="1" applyAlignment="1">
      <alignment horizontal="left"/>
    </xf>
    <xf numFmtId="164" fontId="0" fillId="0" borderId="8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1" fillId="0" borderId="10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Odom</c:v>
          </c:tx>
          <c:xVal>
            <c:numRef>
              <c:f>ZeroOdom!$F$7:$F$36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ZeroOdom!$I$7:$I$36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4.7E-2</c:v>
                </c:pt>
                <c:pt idx="4">
                  <c:v>9.7000000000000003E-2</c:v>
                </c:pt>
                <c:pt idx="5">
                  <c:v>0.14699999999999999</c:v>
                </c:pt>
                <c:pt idx="6">
                  <c:v>0.19700000000000001</c:v>
                </c:pt>
                <c:pt idx="7">
                  <c:v>0.247</c:v>
                </c:pt>
                <c:pt idx="8">
                  <c:v>0.29699999999999999</c:v>
                </c:pt>
                <c:pt idx="9">
                  <c:v>0.34699999999999998</c:v>
                </c:pt>
                <c:pt idx="10">
                  <c:v>0.39700000000000002</c:v>
                </c:pt>
                <c:pt idx="11">
                  <c:v>0.44700000000000001</c:v>
                </c:pt>
                <c:pt idx="12">
                  <c:v>0.497</c:v>
                </c:pt>
                <c:pt idx="13">
                  <c:v>0.54700000000000004</c:v>
                </c:pt>
                <c:pt idx="14">
                  <c:v>0.59699999999999998</c:v>
                </c:pt>
                <c:pt idx="15">
                  <c:v>0.64700000000000002</c:v>
                </c:pt>
                <c:pt idx="16">
                  <c:v>0.69699999999999995</c:v>
                </c:pt>
                <c:pt idx="17">
                  <c:v>0.749</c:v>
                </c:pt>
                <c:pt idx="18">
                  <c:v>0.79900000000000004</c:v>
                </c:pt>
                <c:pt idx="19">
                  <c:v>0.84599999999999997</c:v>
                </c:pt>
                <c:pt idx="20">
                  <c:v>0.90100000000000002</c:v>
                </c:pt>
                <c:pt idx="21">
                  <c:v>0.94799999999999995</c:v>
                </c:pt>
                <c:pt idx="22">
                  <c:v>0.998</c:v>
                </c:pt>
                <c:pt idx="23">
                  <c:v>1.048</c:v>
                </c:pt>
                <c:pt idx="24">
                  <c:v>1.0980000000000001</c:v>
                </c:pt>
                <c:pt idx="25">
                  <c:v>1.1100000000000001</c:v>
                </c:pt>
                <c:pt idx="26">
                  <c:v>1.1100000000000001</c:v>
                </c:pt>
                <c:pt idx="27">
                  <c:v>1.1100000000000001</c:v>
                </c:pt>
                <c:pt idx="28">
                  <c:v>1.1100000000000001</c:v>
                </c:pt>
                <c:pt idx="29">
                  <c:v>1.1100000000000001</c:v>
                </c:pt>
              </c:numCache>
            </c:numRef>
          </c:yVal>
          <c:smooth val="1"/>
        </c:ser>
        <c:ser>
          <c:idx val="1"/>
          <c:order val="1"/>
          <c:tx>
            <c:v>ROS</c:v>
          </c:tx>
          <c:xVal>
            <c:numRef>
              <c:f>ZeroOdom!$F$7:$F$36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ZeroOdom!$L$7:$L$36</c:f>
              <c:numCache>
                <c:formatCode>0.000</c:formatCode>
                <c:ptCount val="30"/>
                <c:pt idx="0">
                  <c:v>0</c:v>
                </c:pt>
                <c:pt idx="1">
                  <c:v>3.7304600000000002E-11</c:v>
                </c:pt>
                <c:pt idx="2">
                  <c:v>2.9246300000000002E-4</c:v>
                </c:pt>
                <c:pt idx="3">
                  <c:v>4.75656E-2</c:v>
                </c:pt>
                <c:pt idx="4">
                  <c:v>9.8996700000000007E-2</c:v>
                </c:pt>
                <c:pt idx="5">
                  <c:v>0.15845699999999999</c:v>
                </c:pt>
                <c:pt idx="6">
                  <c:v>0.194887</c:v>
                </c:pt>
                <c:pt idx="7">
                  <c:v>0.25878200000000001</c:v>
                </c:pt>
                <c:pt idx="8">
                  <c:v>0.29899999999999999</c:v>
                </c:pt>
                <c:pt idx="9">
                  <c:v>0.35475800000000002</c:v>
                </c:pt>
                <c:pt idx="10">
                  <c:v>0.45249200000000001</c:v>
                </c:pt>
                <c:pt idx="11">
                  <c:v>0.47109600000000001</c:v>
                </c:pt>
                <c:pt idx="12">
                  <c:v>0.55117700000000003</c:v>
                </c:pt>
                <c:pt idx="13">
                  <c:v>0.60543199999999997</c:v>
                </c:pt>
                <c:pt idx="14">
                  <c:v>0.655497</c:v>
                </c:pt>
                <c:pt idx="15">
                  <c:v>0.71313000000000004</c:v>
                </c:pt>
                <c:pt idx="16">
                  <c:v>0.76763199999999998</c:v>
                </c:pt>
                <c:pt idx="17">
                  <c:v>0.83967800000000004</c:v>
                </c:pt>
                <c:pt idx="18">
                  <c:v>0.84178600000000003</c:v>
                </c:pt>
                <c:pt idx="19">
                  <c:v>0.71401400000000004</c:v>
                </c:pt>
                <c:pt idx="20">
                  <c:v>0.74246199999999996</c:v>
                </c:pt>
                <c:pt idx="21">
                  <c:v>0.85830899999999999</c:v>
                </c:pt>
                <c:pt idx="22">
                  <c:v>0.90127000000000002</c:v>
                </c:pt>
                <c:pt idx="23">
                  <c:v>0.76725399999999999</c:v>
                </c:pt>
                <c:pt idx="24">
                  <c:v>0.68374400000000002</c:v>
                </c:pt>
                <c:pt idx="25">
                  <c:v>0.77042500000000003</c:v>
                </c:pt>
                <c:pt idx="26">
                  <c:v>0.75878599999999996</c:v>
                </c:pt>
                <c:pt idx="27">
                  <c:v>0.67868300000000004</c:v>
                </c:pt>
                <c:pt idx="28">
                  <c:v>0.72660499999999995</c:v>
                </c:pt>
                <c:pt idx="29">
                  <c:v>0.75117999999999996</c:v>
                </c:pt>
              </c:numCache>
            </c:numRef>
          </c:yVal>
          <c:smooth val="1"/>
        </c:ser>
        <c:ser>
          <c:idx val="2"/>
          <c:order val="2"/>
          <c:tx>
            <c:v>WIN</c:v>
          </c:tx>
          <c:xVal>
            <c:numRef>
              <c:f>ZeroOdom!$F$7:$F$36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ZeroOdom!$R$7:$R$36</c:f>
              <c:numCache>
                <c:formatCode>0.000</c:formatCode>
                <c:ptCount val="30"/>
                <c:pt idx="0">
                  <c:v>0</c:v>
                </c:pt>
                <c:pt idx="1">
                  <c:v>-1.9174199999999999E-15</c:v>
                </c:pt>
                <c:pt idx="2">
                  <c:v>2.92465E-4</c:v>
                </c:pt>
                <c:pt idx="3">
                  <c:v>4.5458999999999999E-2</c:v>
                </c:pt>
                <c:pt idx="4">
                  <c:v>9.9329299999999995E-2</c:v>
                </c:pt>
                <c:pt idx="5">
                  <c:v>0.15857099999999999</c:v>
                </c:pt>
                <c:pt idx="6">
                  <c:v>0.198101</c:v>
                </c:pt>
                <c:pt idx="7">
                  <c:v>0.28087499999999999</c:v>
                </c:pt>
                <c:pt idx="8">
                  <c:v>0.33091799999999999</c:v>
                </c:pt>
                <c:pt idx="9">
                  <c:v>0.37323899999999999</c:v>
                </c:pt>
                <c:pt idx="10">
                  <c:v>0.47563499999999997</c:v>
                </c:pt>
                <c:pt idx="11">
                  <c:v>0.46464299999999997</c:v>
                </c:pt>
                <c:pt idx="12">
                  <c:v>0.55796599999999996</c:v>
                </c:pt>
                <c:pt idx="13">
                  <c:v>0.62641899999999995</c:v>
                </c:pt>
                <c:pt idx="14">
                  <c:v>0.68007200000000001</c:v>
                </c:pt>
                <c:pt idx="15">
                  <c:v>0.734101</c:v>
                </c:pt>
                <c:pt idx="16">
                  <c:v>0.78443499999999999</c:v>
                </c:pt>
                <c:pt idx="17">
                  <c:v>0.85630399999999995</c:v>
                </c:pt>
                <c:pt idx="18">
                  <c:v>0.55218299999999998</c:v>
                </c:pt>
                <c:pt idx="19">
                  <c:v>0.79311100000000001</c:v>
                </c:pt>
                <c:pt idx="20">
                  <c:v>0.82406199999999996</c:v>
                </c:pt>
                <c:pt idx="21">
                  <c:v>0.92105899999999996</c:v>
                </c:pt>
                <c:pt idx="22">
                  <c:v>0.63815500000000003</c:v>
                </c:pt>
                <c:pt idx="23">
                  <c:v>0.74902500000000005</c:v>
                </c:pt>
                <c:pt idx="24">
                  <c:v>0.81466000000000005</c:v>
                </c:pt>
                <c:pt idx="25">
                  <c:v>0.66396999999999995</c:v>
                </c:pt>
                <c:pt idx="26">
                  <c:v>0.76179799999999998</c:v>
                </c:pt>
                <c:pt idx="27">
                  <c:v>0.72509699999999999</c:v>
                </c:pt>
                <c:pt idx="28">
                  <c:v>0.76711200000000002</c:v>
                </c:pt>
                <c:pt idx="29">
                  <c:v>0.76943099999999998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42688"/>
        <c:axId val="83843264"/>
      </c:scatterChart>
      <c:valAx>
        <c:axId val="8384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STEP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3843264"/>
        <c:crosses val="autoZero"/>
        <c:crossBetween val="midCat"/>
      </c:valAx>
      <c:valAx>
        <c:axId val="83843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Y-AXIS (M)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38426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Odom</c:v>
          </c:tx>
          <c:xVal>
            <c:numRef>
              <c:f>NonZeroOdom!$F$7:$F$36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NonZeroOdom!$I$7:$I$36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4.7E-2</c:v>
                </c:pt>
                <c:pt idx="4">
                  <c:v>9.7000000000000003E-2</c:v>
                </c:pt>
                <c:pt idx="5">
                  <c:v>0.14699999999999999</c:v>
                </c:pt>
                <c:pt idx="6">
                  <c:v>0.19700000000000001</c:v>
                </c:pt>
                <c:pt idx="7">
                  <c:v>0.247</c:v>
                </c:pt>
                <c:pt idx="8">
                  <c:v>0.29699999999999999</c:v>
                </c:pt>
                <c:pt idx="9">
                  <c:v>0.34699999999999998</c:v>
                </c:pt>
                <c:pt idx="10">
                  <c:v>0.39700000000000002</c:v>
                </c:pt>
                <c:pt idx="11">
                  <c:v>0.44700000000000001</c:v>
                </c:pt>
                <c:pt idx="12">
                  <c:v>0.497</c:v>
                </c:pt>
                <c:pt idx="13">
                  <c:v>0.54700000000000004</c:v>
                </c:pt>
                <c:pt idx="14">
                  <c:v>0.59699999999999998</c:v>
                </c:pt>
                <c:pt idx="15">
                  <c:v>0.64700000000000002</c:v>
                </c:pt>
                <c:pt idx="16">
                  <c:v>0.69699999999999995</c:v>
                </c:pt>
                <c:pt idx="17">
                  <c:v>0.749</c:v>
                </c:pt>
                <c:pt idx="18">
                  <c:v>0.79900000000000004</c:v>
                </c:pt>
                <c:pt idx="19">
                  <c:v>0.84599999999999997</c:v>
                </c:pt>
                <c:pt idx="20">
                  <c:v>0.90100000000000002</c:v>
                </c:pt>
                <c:pt idx="21">
                  <c:v>0.94799999999999995</c:v>
                </c:pt>
                <c:pt idx="22">
                  <c:v>0.998</c:v>
                </c:pt>
                <c:pt idx="23">
                  <c:v>1.048</c:v>
                </c:pt>
                <c:pt idx="24">
                  <c:v>1.0980000000000001</c:v>
                </c:pt>
                <c:pt idx="25">
                  <c:v>1.1100000000000001</c:v>
                </c:pt>
                <c:pt idx="26">
                  <c:v>1.1100000000000001</c:v>
                </c:pt>
                <c:pt idx="27">
                  <c:v>1.1100000000000001</c:v>
                </c:pt>
                <c:pt idx="28">
                  <c:v>1.1100000000000001</c:v>
                </c:pt>
                <c:pt idx="29">
                  <c:v>1.1100000000000001</c:v>
                </c:pt>
              </c:numCache>
            </c:numRef>
          </c:yVal>
          <c:smooth val="1"/>
        </c:ser>
        <c:ser>
          <c:idx val="1"/>
          <c:order val="1"/>
          <c:tx>
            <c:v>ROS</c:v>
          </c:tx>
          <c:xVal>
            <c:numRef>
              <c:f>NonZeroOdom!$F$7:$F$36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NonZeroOdom!$L$7:$L$36</c:f>
              <c:numCache>
                <c:formatCode>0.000</c:formatCode>
                <c:ptCount val="30"/>
                <c:pt idx="0">
                  <c:v>0</c:v>
                </c:pt>
                <c:pt idx="1">
                  <c:v>3.7304600000000002E-11</c:v>
                </c:pt>
                <c:pt idx="2">
                  <c:v>3.0785300000000002E-4</c:v>
                </c:pt>
                <c:pt idx="3">
                  <c:v>4.8220100000000002E-2</c:v>
                </c:pt>
                <c:pt idx="4">
                  <c:v>0.10000299999999999</c:v>
                </c:pt>
                <c:pt idx="5">
                  <c:v>0.15948999999999999</c:v>
                </c:pt>
                <c:pt idx="6">
                  <c:v>0.19633300000000001</c:v>
                </c:pt>
                <c:pt idx="7">
                  <c:v>0.25976500000000002</c:v>
                </c:pt>
                <c:pt idx="8">
                  <c:v>0.29966599999999999</c:v>
                </c:pt>
                <c:pt idx="9">
                  <c:v>0.35582900000000001</c:v>
                </c:pt>
                <c:pt idx="10">
                  <c:v>0.45343600000000001</c:v>
                </c:pt>
                <c:pt idx="11">
                  <c:v>0.47192600000000001</c:v>
                </c:pt>
                <c:pt idx="12">
                  <c:v>0.55212300000000003</c:v>
                </c:pt>
                <c:pt idx="13">
                  <c:v>0.60636800000000002</c:v>
                </c:pt>
                <c:pt idx="14">
                  <c:v>0.65644100000000005</c:v>
                </c:pt>
                <c:pt idx="15">
                  <c:v>0.71424900000000002</c:v>
                </c:pt>
                <c:pt idx="16">
                  <c:v>0.76863499999999996</c:v>
                </c:pt>
                <c:pt idx="17">
                  <c:v>0.84114299999999997</c:v>
                </c:pt>
                <c:pt idx="18">
                  <c:v>0.84268799999999999</c:v>
                </c:pt>
                <c:pt idx="19">
                  <c:v>0.71471899999999999</c:v>
                </c:pt>
                <c:pt idx="20">
                  <c:v>0.74329699999999999</c:v>
                </c:pt>
                <c:pt idx="21">
                  <c:v>0.85929199999999994</c:v>
                </c:pt>
                <c:pt idx="22">
                  <c:v>0.90229800000000004</c:v>
                </c:pt>
                <c:pt idx="23">
                  <c:v>0.76818500000000001</c:v>
                </c:pt>
                <c:pt idx="24">
                  <c:v>0.68445599999999995</c:v>
                </c:pt>
                <c:pt idx="25">
                  <c:v>0.77090400000000003</c:v>
                </c:pt>
                <c:pt idx="26">
                  <c:v>0.759135</c:v>
                </c:pt>
                <c:pt idx="27">
                  <c:v>0.67895700000000003</c:v>
                </c:pt>
                <c:pt idx="28">
                  <c:v>0.72691300000000003</c:v>
                </c:pt>
                <c:pt idx="29">
                  <c:v>0.75147900000000001</c:v>
                </c:pt>
              </c:numCache>
            </c:numRef>
          </c:yVal>
          <c:smooth val="1"/>
        </c:ser>
        <c:ser>
          <c:idx val="2"/>
          <c:order val="2"/>
          <c:tx>
            <c:v>WIN</c:v>
          </c:tx>
          <c:xVal>
            <c:numRef>
              <c:f>NonZeroOdom!$F$7:$F$36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NonZeroOdom!$R$7:$R$36</c:f>
              <c:numCache>
                <c:formatCode>0.000</c:formatCode>
                <c:ptCount val="30"/>
                <c:pt idx="0">
                  <c:v>0</c:v>
                </c:pt>
                <c:pt idx="1">
                  <c:v>-1.9174199999999999E-15</c:v>
                </c:pt>
                <c:pt idx="2">
                  <c:v>3.07855E-4</c:v>
                </c:pt>
                <c:pt idx="3">
                  <c:v>4.6055600000000002E-2</c:v>
                </c:pt>
                <c:pt idx="4">
                  <c:v>0.100337</c:v>
                </c:pt>
                <c:pt idx="5">
                  <c:v>0.159667</c:v>
                </c:pt>
                <c:pt idx="6">
                  <c:v>0.19937199999999999</c:v>
                </c:pt>
                <c:pt idx="7">
                  <c:v>0.28201999999999999</c:v>
                </c:pt>
                <c:pt idx="8">
                  <c:v>0.33168300000000001</c:v>
                </c:pt>
                <c:pt idx="9">
                  <c:v>0.37439</c:v>
                </c:pt>
                <c:pt idx="10">
                  <c:v>0.47652099999999997</c:v>
                </c:pt>
                <c:pt idx="11">
                  <c:v>0.46551900000000002</c:v>
                </c:pt>
                <c:pt idx="12">
                  <c:v>0.55902799999999997</c:v>
                </c:pt>
                <c:pt idx="13">
                  <c:v>0.62739199999999995</c:v>
                </c:pt>
                <c:pt idx="14">
                  <c:v>0.68097300000000005</c:v>
                </c:pt>
                <c:pt idx="15">
                  <c:v>0.73535099999999998</c:v>
                </c:pt>
                <c:pt idx="16">
                  <c:v>0.78541300000000003</c:v>
                </c:pt>
                <c:pt idx="17">
                  <c:v>0.85796700000000004</c:v>
                </c:pt>
                <c:pt idx="18">
                  <c:v>0.55301699999999998</c:v>
                </c:pt>
                <c:pt idx="19">
                  <c:v>0.79395499999999997</c:v>
                </c:pt>
                <c:pt idx="20">
                  <c:v>0.82508599999999999</c:v>
                </c:pt>
                <c:pt idx="21">
                  <c:v>0.92201599999999995</c:v>
                </c:pt>
                <c:pt idx="22">
                  <c:v>0.63893299999999997</c:v>
                </c:pt>
                <c:pt idx="23">
                  <c:v>0.74985500000000005</c:v>
                </c:pt>
                <c:pt idx="24">
                  <c:v>0.81549300000000002</c:v>
                </c:pt>
                <c:pt idx="25">
                  <c:v>0.66434599999999999</c:v>
                </c:pt>
                <c:pt idx="26">
                  <c:v>0.76215999999999995</c:v>
                </c:pt>
                <c:pt idx="27">
                  <c:v>0.72544399999999998</c:v>
                </c:pt>
                <c:pt idx="28">
                  <c:v>0.76744299999999999</c:v>
                </c:pt>
                <c:pt idx="29">
                  <c:v>0.76974600000000004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89472"/>
        <c:axId val="135890048"/>
      </c:scatterChart>
      <c:valAx>
        <c:axId val="135889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STEP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5890048"/>
        <c:crosses val="autoZero"/>
        <c:crossBetween val="midCat"/>
      </c:valAx>
      <c:valAx>
        <c:axId val="1358900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Y-AXIS (M)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58894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37</xdr:row>
      <xdr:rowOff>28575</xdr:rowOff>
    </xdr:from>
    <xdr:to>
      <xdr:col>21</xdr:col>
      <xdr:colOff>28575</xdr:colOff>
      <xdr:row>70</xdr:row>
      <xdr:rowOff>57150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37</xdr:row>
      <xdr:rowOff>19050</xdr:rowOff>
    </xdr:from>
    <xdr:to>
      <xdr:col>21</xdr:col>
      <xdr:colOff>38100</xdr:colOff>
      <xdr:row>70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6"/>
  <sheetViews>
    <sheetView workbookViewId="0">
      <selection activeCell="Q7" sqref="Q7:R36"/>
    </sheetView>
  </sheetViews>
  <sheetFormatPr defaultRowHeight="15" x14ac:dyDescent="0.25"/>
  <cols>
    <col min="2" max="6" width="9.140625" style="2"/>
    <col min="7" max="10" width="9.140625" style="3"/>
    <col min="11" max="12" width="9.140625" style="2"/>
    <col min="14" max="14" width="9.140625" customWidth="1"/>
    <col min="17" max="18" width="9.140625" style="1"/>
    <col min="20" max="21" width="9.140625" style="2"/>
  </cols>
  <sheetData>
    <row r="2" spans="2:21" x14ac:dyDescent="0.25">
      <c r="B2" s="4" t="s">
        <v>22</v>
      </c>
    </row>
    <row r="3" spans="2:21" x14ac:dyDescent="0.25">
      <c r="B3" s="4"/>
    </row>
    <row r="5" spans="2:21" s="6" customFormat="1" x14ac:dyDescent="0.25">
      <c r="B5" s="9"/>
      <c r="C5" s="9" t="s">
        <v>14</v>
      </c>
      <c r="D5" s="9"/>
      <c r="E5" s="9"/>
      <c r="F5" s="9" t="s">
        <v>15</v>
      </c>
      <c r="H5" s="14" t="s">
        <v>17</v>
      </c>
      <c r="K5" s="4" t="s">
        <v>0</v>
      </c>
      <c r="M5" s="5"/>
      <c r="N5" s="12" t="s">
        <v>18</v>
      </c>
      <c r="P5" s="5"/>
      <c r="Q5" s="4" t="s">
        <v>3</v>
      </c>
      <c r="T5" s="12" t="s">
        <v>19</v>
      </c>
    </row>
    <row r="6" spans="2:21" s="6" customFormat="1" x14ac:dyDescent="0.25">
      <c r="B6" s="7"/>
      <c r="C6" s="7"/>
      <c r="D6" s="7"/>
      <c r="E6" s="9"/>
      <c r="F6" s="13" t="s">
        <v>16</v>
      </c>
      <c r="H6" s="13" t="s">
        <v>1</v>
      </c>
      <c r="I6" s="13" t="s">
        <v>2</v>
      </c>
      <c r="K6" s="7" t="s">
        <v>1</v>
      </c>
      <c r="L6" s="7" t="s">
        <v>2</v>
      </c>
      <c r="M6" s="5"/>
      <c r="N6" s="8" t="s">
        <v>1</v>
      </c>
      <c r="O6" s="8" t="s">
        <v>2</v>
      </c>
      <c r="P6" s="5"/>
      <c r="Q6" s="7" t="s">
        <v>1</v>
      </c>
      <c r="R6" s="7" t="s">
        <v>2</v>
      </c>
      <c r="T6" s="8" t="s">
        <v>1</v>
      </c>
      <c r="U6" s="8" t="s">
        <v>2</v>
      </c>
    </row>
    <row r="7" spans="2:21" x14ac:dyDescent="0.25">
      <c r="B7" s="11" t="s">
        <v>4</v>
      </c>
      <c r="C7" s="10">
        <v>320</v>
      </c>
      <c r="D7" s="10" t="s">
        <v>9</v>
      </c>
      <c r="E7" s="10"/>
      <c r="F7" s="10">
        <v>0</v>
      </c>
      <c r="G7"/>
      <c r="H7" s="1" t="s">
        <v>20</v>
      </c>
      <c r="I7" s="1">
        <v>0</v>
      </c>
      <c r="J7"/>
      <c r="K7" s="2">
        <v>0</v>
      </c>
      <c r="L7" s="2">
        <v>0</v>
      </c>
      <c r="M7" s="3"/>
      <c r="N7" s="1" t="s">
        <v>20</v>
      </c>
      <c r="O7" s="15">
        <v>0</v>
      </c>
      <c r="P7" s="3"/>
      <c r="Q7" s="2">
        <v>0</v>
      </c>
      <c r="R7" s="2">
        <v>0</v>
      </c>
      <c r="T7" s="1" t="s">
        <v>20</v>
      </c>
      <c r="U7" s="15">
        <v>0</v>
      </c>
    </row>
    <row r="8" spans="2:21" x14ac:dyDescent="0.25">
      <c r="B8" s="11" t="s">
        <v>5</v>
      </c>
      <c r="C8" s="10">
        <v>240</v>
      </c>
      <c r="D8" s="10" t="s">
        <v>9</v>
      </c>
      <c r="E8" s="10"/>
      <c r="F8" s="10">
        <v>1</v>
      </c>
      <c r="G8"/>
      <c r="H8" s="1" t="s">
        <v>20</v>
      </c>
      <c r="I8" s="1">
        <v>0</v>
      </c>
      <c r="J8"/>
      <c r="K8" s="2">
        <v>2.0021499999999999E-12</v>
      </c>
      <c r="L8" s="2">
        <v>3.7304600000000002E-11</v>
      </c>
      <c r="M8" s="3"/>
      <c r="N8" s="1" t="s">
        <v>20</v>
      </c>
      <c r="O8" s="2" t="e">
        <f>100*(I8-L8)/I8</f>
        <v>#DIV/0!</v>
      </c>
      <c r="P8" s="3"/>
      <c r="Q8" s="2">
        <v>-6.1966099999999998E-12</v>
      </c>
      <c r="R8" s="2">
        <v>-1.9174199999999999E-15</v>
      </c>
      <c r="T8" s="1" t="s">
        <v>20</v>
      </c>
      <c r="U8" s="2" t="e">
        <f>100*(I8-R8)/I8</f>
        <v>#DIV/0!</v>
      </c>
    </row>
    <row r="9" spans="2:21" x14ac:dyDescent="0.25">
      <c r="B9" s="11" t="s">
        <v>6</v>
      </c>
      <c r="C9" s="10">
        <v>52.2</v>
      </c>
      <c r="D9" s="10" t="s">
        <v>8</v>
      </c>
      <c r="E9" s="10"/>
      <c r="F9" s="10">
        <v>2</v>
      </c>
      <c r="G9"/>
      <c r="H9" s="1" t="s">
        <v>20</v>
      </c>
      <c r="I9" s="1">
        <v>1E-3</v>
      </c>
      <c r="J9"/>
      <c r="K9" s="2">
        <v>1.2138000000000001E-4</v>
      </c>
      <c r="L9" s="2">
        <v>2.9246300000000002E-4</v>
      </c>
      <c r="M9" s="3"/>
      <c r="N9" s="1" t="s">
        <v>20</v>
      </c>
      <c r="O9" s="2">
        <f t="shared" ref="O9:O36" si="0">100*(I9-L9)/I9</f>
        <v>70.753699999999995</v>
      </c>
      <c r="P9" s="3"/>
      <c r="Q9" s="2">
        <v>1.21378E-4</v>
      </c>
      <c r="R9" s="2">
        <v>2.92465E-4</v>
      </c>
      <c r="T9" s="1" t="s">
        <v>20</v>
      </c>
      <c r="U9" s="2">
        <f>100*(I9-R9)/I9</f>
        <v>70.753500000000003</v>
      </c>
    </row>
    <row r="10" spans="2:21" x14ac:dyDescent="0.25">
      <c r="B10" s="11" t="s">
        <v>7</v>
      </c>
      <c r="C10" s="10">
        <v>66.7</v>
      </c>
      <c r="D10" s="10" t="s">
        <v>8</v>
      </c>
      <c r="E10" s="10"/>
      <c r="F10" s="10">
        <v>3</v>
      </c>
      <c r="G10"/>
      <c r="H10" s="1" t="s">
        <v>20</v>
      </c>
      <c r="I10" s="1">
        <v>4.7E-2</v>
      </c>
      <c r="J10"/>
      <c r="K10" s="2">
        <v>5.7808099999999999E-3</v>
      </c>
      <c r="L10" s="2">
        <v>4.75656E-2</v>
      </c>
      <c r="M10" s="3"/>
      <c r="N10" s="1" t="s">
        <v>20</v>
      </c>
      <c r="O10" s="2">
        <f t="shared" si="0"/>
        <v>-1.2034042553191477</v>
      </c>
      <c r="P10" s="3"/>
      <c r="Q10" s="2">
        <v>-2.3380499999999999E-2</v>
      </c>
      <c r="R10" s="2">
        <v>4.5458999999999999E-2</v>
      </c>
      <c r="T10" s="1" t="s">
        <v>20</v>
      </c>
      <c r="U10" s="2">
        <f t="shared" ref="U10:U36" si="1">100*(I10-R10)/I10</f>
        <v>3.2787234042553206</v>
      </c>
    </row>
    <row r="11" spans="2:21" x14ac:dyDescent="0.25">
      <c r="B11" s="11" t="s">
        <v>11</v>
      </c>
      <c r="C11" s="10">
        <v>0</v>
      </c>
      <c r="D11" s="10" t="s">
        <v>8</v>
      </c>
      <c r="E11" s="10"/>
      <c r="F11" s="10">
        <v>4</v>
      </c>
      <c r="G11"/>
      <c r="H11" s="1" t="s">
        <v>20</v>
      </c>
      <c r="I11" s="1">
        <v>9.7000000000000003E-2</v>
      </c>
      <c r="J11"/>
      <c r="K11" s="2">
        <v>3.1901199999999997E-4</v>
      </c>
      <c r="L11" s="2">
        <v>9.8996700000000007E-2</v>
      </c>
      <c r="M11" s="3"/>
      <c r="N11" s="1" t="s">
        <v>20</v>
      </c>
      <c r="O11" s="2">
        <f t="shared" si="0"/>
        <v>-2.0584536082474267</v>
      </c>
      <c r="P11" s="3"/>
      <c r="Q11" s="2">
        <v>4.8321700000000002E-3</v>
      </c>
      <c r="R11" s="2">
        <v>9.9329299999999995E-2</v>
      </c>
      <c r="T11" s="1" t="s">
        <v>20</v>
      </c>
      <c r="U11" s="2">
        <f t="shared" si="1"/>
        <v>-2.4013402061855591</v>
      </c>
    </row>
    <row r="12" spans="2:21" x14ac:dyDescent="0.25">
      <c r="B12" s="11" t="s">
        <v>10</v>
      </c>
      <c r="C12" s="10">
        <v>45</v>
      </c>
      <c r="D12" s="10" t="s">
        <v>8</v>
      </c>
      <c r="E12" s="10"/>
      <c r="F12" s="10">
        <v>5</v>
      </c>
      <c r="G12"/>
      <c r="H12" s="1" t="s">
        <v>20</v>
      </c>
      <c r="I12" s="1">
        <v>0.14699999999999999</v>
      </c>
      <c r="J12"/>
      <c r="K12" s="2">
        <v>1.72461E-2</v>
      </c>
      <c r="L12" s="2">
        <v>0.15845699999999999</v>
      </c>
      <c r="M12" s="3"/>
      <c r="N12" s="1" t="s">
        <v>20</v>
      </c>
      <c r="O12" s="2">
        <f t="shared" si="0"/>
        <v>-7.7938775510204055</v>
      </c>
      <c r="P12" s="3"/>
      <c r="Q12" s="2">
        <v>2.3383299999999999E-2</v>
      </c>
      <c r="R12" s="2">
        <v>0.15857099999999999</v>
      </c>
      <c r="T12" s="1" t="s">
        <v>20</v>
      </c>
      <c r="U12" s="2">
        <f t="shared" si="1"/>
        <v>-7.8714285714285701</v>
      </c>
    </row>
    <row r="13" spans="2:21" x14ac:dyDescent="0.25">
      <c r="B13" s="11" t="s">
        <v>12</v>
      </c>
      <c r="C13" s="10">
        <v>0.52</v>
      </c>
      <c r="D13" s="10" t="s">
        <v>13</v>
      </c>
      <c r="E13" s="10"/>
      <c r="F13" s="10">
        <v>6</v>
      </c>
      <c r="G13"/>
      <c r="H13" s="1" t="s">
        <v>20</v>
      </c>
      <c r="I13" s="1">
        <v>0.19700000000000001</v>
      </c>
      <c r="J13"/>
      <c r="K13" s="2">
        <v>6.4386699999999996E-3</v>
      </c>
      <c r="L13" s="2">
        <v>0.194887</v>
      </c>
      <c r="M13" s="3"/>
      <c r="N13" s="1" t="s">
        <v>20</v>
      </c>
      <c r="O13" s="2">
        <f t="shared" si="0"/>
        <v>1.0725888324873114</v>
      </c>
      <c r="P13" s="3"/>
      <c r="Q13" s="2">
        <v>1.6091399999999999E-2</v>
      </c>
      <c r="R13" s="2">
        <v>0.198101</v>
      </c>
      <c r="T13" s="1" t="s">
        <v>20</v>
      </c>
      <c r="U13" s="2">
        <f t="shared" si="1"/>
        <v>-0.55888324873095985</v>
      </c>
    </row>
    <row r="14" spans="2:21" x14ac:dyDescent="0.25">
      <c r="B14" s="10"/>
      <c r="C14" s="10"/>
      <c r="D14" s="10"/>
      <c r="E14" s="10"/>
      <c r="F14" s="10">
        <v>7</v>
      </c>
      <c r="G14"/>
      <c r="H14" s="1" t="s">
        <v>20</v>
      </c>
      <c r="I14" s="1">
        <v>0.247</v>
      </c>
      <c r="J14"/>
      <c r="K14" s="2">
        <v>8.9220900000000006E-3</v>
      </c>
      <c r="L14" s="2">
        <v>0.25878200000000001</v>
      </c>
      <c r="M14" s="3"/>
      <c r="N14" s="1" t="s">
        <v>20</v>
      </c>
      <c r="O14" s="2">
        <f t="shared" si="0"/>
        <v>-4.7700404858299654</v>
      </c>
      <c r="P14" s="3"/>
      <c r="Q14" s="2">
        <v>1.6883800000000001E-2</v>
      </c>
      <c r="R14" s="2">
        <v>0.28087499999999999</v>
      </c>
      <c r="T14" s="1" t="s">
        <v>20</v>
      </c>
      <c r="U14" s="2">
        <f t="shared" si="1"/>
        <v>-13.71457489878542</v>
      </c>
    </row>
    <row r="15" spans="2:21" x14ac:dyDescent="0.25">
      <c r="B15" s="10"/>
      <c r="C15" s="10"/>
      <c r="D15" s="10"/>
      <c r="E15" s="10"/>
      <c r="F15" s="10">
        <v>8</v>
      </c>
      <c r="G15"/>
      <c r="H15" s="1" t="s">
        <v>20</v>
      </c>
      <c r="I15" s="1">
        <v>0.29699999999999999</v>
      </c>
      <c r="J15"/>
      <c r="K15" s="2">
        <v>8.7714999999999998E-3</v>
      </c>
      <c r="L15" s="2">
        <v>0.29899999999999999</v>
      </c>
      <c r="M15" s="3"/>
      <c r="N15" s="1" t="s">
        <v>20</v>
      </c>
      <c r="O15" s="2">
        <f t="shared" si="0"/>
        <v>-0.673400673400674</v>
      </c>
      <c r="P15" s="3"/>
      <c r="Q15" s="2">
        <v>1.34448E-2</v>
      </c>
      <c r="R15" s="2">
        <v>0.33091799999999999</v>
      </c>
      <c r="T15" s="1" t="s">
        <v>20</v>
      </c>
      <c r="U15" s="2">
        <f t="shared" si="1"/>
        <v>-11.420202020202021</v>
      </c>
    </row>
    <row r="16" spans="2:21" x14ac:dyDescent="0.25">
      <c r="B16" s="10"/>
      <c r="C16" s="10"/>
      <c r="D16" s="10"/>
      <c r="E16" s="10"/>
      <c r="F16" s="10">
        <v>9</v>
      </c>
      <c r="G16"/>
      <c r="H16" s="1" t="s">
        <v>20</v>
      </c>
      <c r="I16" s="1">
        <v>0.34699999999999998</v>
      </c>
      <c r="J16"/>
      <c r="K16" s="2">
        <v>2.03348E-2</v>
      </c>
      <c r="L16" s="2">
        <v>0.35475800000000002</v>
      </c>
      <c r="M16" s="3"/>
      <c r="N16" s="1" t="s">
        <v>20</v>
      </c>
      <c r="O16" s="2">
        <f t="shared" si="0"/>
        <v>-2.2357348703170152</v>
      </c>
      <c r="P16" s="3"/>
      <c r="Q16" s="2">
        <v>-1.8783399999999999E-2</v>
      </c>
      <c r="R16" s="2">
        <v>0.37323899999999999</v>
      </c>
      <c r="T16" s="1" t="s">
        <v>20</v>
      </c>
      <c r="U16" s="2">
        <f t="shared" si="1"/>
        <v>-7.561671469740638</v>
      </c>
    </row>
    <row r="17" spans="2:21" x14ac:dyDescent="0.25">
      <c r="B17" s="10"/>
      <c r="C17" s="10"/>
      <c r="D17" s="10"/>
      <c r="E17" s="10"/>
      <c r="F17" s="10">
        <v>10</v>
      </c>
      <c r="G17"/>
      <c r="H17" s="1" t="s">
        <v>20</v>
      </c>
      <c r="I17" s="1">
        <v>0.39700000000000002</v>
      </c>
      <c r="J17"/>
      <c r="K17" s="2">
        <v>2.6831899999999999E-2</v>
      </c>
      <c r="L17" s="2">
        <v>0.45249200000000001</v>
      </c>
      <c r="M17" s="3"/>
      <c r="N17" s="1" t="s">
        <v>20</v>
      </c>
      <c r="O17" s="2">
        <f t="shared" si="0"/>
        <v>-13.977833753148612</v>
      </c>
      <c r="P17" s="3"/>
      <c r="Q17" s="2">
        <v>4.5877599999999998E-2</v>
      </c>
      <c r="R17" s="2">
        <v>0.47563499999999997</v>
      </c>
      <c r="T17" s="1" t="s">
        <v>20</v>
      </c>
      <c r="U17" s="2">
        <f t="shared" si="1"/>
        <v>-19.807304785894196</v>
      </c>
    </row>
    <row r="18" spans="2:21" x14ac:dyDescent="0.25">
      <c r="B18" s="10"/>
      <c r="C18" s="10"/>
      <c r="D18" s="10"/>
      <c r="E18" s="10"/>
      <c r="F18" s="10">
        <v>11</v>
      </c>
      <c r="G18"/>
      <c r="H18" s="1" t="s">
        <v>20</v>
      </c>
      <c r="I18" s="1">
        <v>0.44700000000000001</v>
      </c>
      <c r="J18"/>
      <c r="K18" s="2">
        <v>3.0778300000000001E-2</v>
      </c>
      <c r="L18" s="2">
        <v>0.47109600000000001</v>
      </c>
      <c r="M18" s="3"/>
      <c r="N18" s="1" t="s">
        <v>20</v>
      </c>
      <c r="O18" s="2">
        <f t="shared" si="0"/>
        <v>-5.3906040268456392</v>
      </c>
      <c r="P18" s="3"/>
      <c r="Q18" s="2">
        <v>2.6908899999999999E-2</v>
      </c>
      <c r="R18" s="2">
        <v>0.46464299999999997</v>
      </c>
      <c r="T18" s="1" t="s">
        <v>20</v>
      </c>
      <c r="U18" s="2">
        <f t="shared" si="1"/>
        <v>-3.9469798657718038</v>
      </c>
    </row>
    <row r="19" spans="2:21" x14ac:dyDescent="0.25">
      <c r="B19" s="10"/>
      <c r="C19" s="10"/>
      <c r="D19" s="10"/>
      <c r="E19" s="10"/>
      <c r="F19" s="10">
        <v>12</v>
      </c>
      <c r="G19"/>
      <c r="H19" s="1" t="s">
        <v>20</v>
      </c>
      <c r="I19" s="1">
        <v>0.497</v>
      </c>
      <c r="J19"/>
      <c r="K19" s="2">
        <v>4.0430000000000001E-2</v>
      </c>
      <c r="L19" s="2">
        <v>0.55117700000000003</v>
      </c>
      <c r="M19" s="3"/>
      <c r="N19" s="1" t="s">
        <v>20</v>
      </c>
      <c r="O19" s="2">
        <f t="shared" si="0"/>
        <v>-10.90080482897385</v>
      </c>
      <c r="P19" s="3"/>
      <c r="Q19" s="2">
        <v>3.5493799999999999E-2</v>
      </c>
      <c r="R19" s="2">
        <v>0.55796599999999996</v>
      </c>
      <c r="T19" s="1" t="s">
        <v>20</v>
      </c>
      <c r="U19" s="2">
        <f t="shared" si="1"/>
        <v>-12.266800804828968</v>
      </c>
    </row>
    <row r="20" spans="2:21" x14ac:dyDescent="0.25">
      <c r="B20" s="10"/>
      <c r="C20" s="10"/>
      <c r="D20" s="10"/>
      <c r="E20" s="10"/>
      <c r="F20" s="10">
        <v>13</v>
      </c>
      <c r="G20"/>
      <c r="H20" s="1" t="s">
        <v>20</v>
      </c>
      <c r="I20" s="1">
        <v>0.54700000000000004</v>
      </c>
      <c r="J20"/>
      <c r="K20" s="2">
        <v>6.4198400000000003E-2</v>
      </c>
      <c r="L20" s="2">
        <v>0.60543199999999997</v>
      </c>
      <c r="M20" s="3"/>
      <c r="N20" s="1" t="s">
        <v>20</v>
      </c>
      <c r="O20" s="2">
        <f t="shared" si="0"/>
        <v>-10.682266910420461</v>
      </c>
      <c r="P20" s="3"/>
      <c r="Q20" s="2">
        <v>7.1880600000000003E-2</v>
      </c>
      <c r="R20" s="2">
        <v>0.62641899999999995</v>
      </c>
      <c r="T20" s="1" t="s">
        <v>20</v>
      </c>
      <c r="U20" s="2">
        <f t="shared" si="1"/>
        <v>-14.519012797074936</v>
      </c>
    </row>
    <row r="21" spans="2:21" x14ac:dyDescent="0.25">
      <c r="B21" s="10"/>
      <c r="C21" s="10"/>
      <c r="D21" s="10"/>
      <c r="E21" s="10"/>
      <c r="F21" s="10">
        <v>14</v>
      </c>
      <c r="G21"/>
      <c r="H21" s="1" t="s">
        <v>20</v>
      </c>
      <c r="I21" s="1">
        <v>0.59699999999999998</v>
      </c>
      <c r="J21"/>
      <c r="K21" s="2">
        <v>5.7146000000000002E-2</v>
      </c>
      <c r="L21" s="2">
        <v>0.655497</v>
      </c>
      <c r="M21" s="3"/>
      <c r="N21" s="1" t="s">
        <v>20</v>
      </c>
      <c r="O21" s="2">
        <f t="shared" si="0"/>
        <v>-9.798492462311561</v>
      </c>
      <c r="P21" s="3"/>
      <c r="Q21" s="2">
        <v>4.9201399999999999E-2</v>
      </c>
      <c r="R21" s="2">
        <v>0.68007200000000001</v>
      </c>
      <c r="T21" s="1" t="s">
        <v>20</v>
      </c>
      <c r="U21" s="2">
        <f t="shared" si="1"/>
        <v>-13.914907872696824</v>
      </c>
    </row>
    <row r="22" spans="2:21" x14ac:dyDescent="0.25">
      <c r="B22" s="10"/>
      <c r="C22" s="10"/>
      <c r="D22" s="10"/>
      <c r="E22" s="10"/>
      <c r="F22" s="10">
        <v>15</v>
      </c>
      <c r="G22"/>
      <c r="H22" s="1" t="s">
        <v>20</v>
      </c>
      <c r="I22" s="1">
        <v>0.64700000000000002</v>
      </c>
      <c r="J22"/>
      <c r="K22" s="2">
        <v>7.5077599999999994E-2</v>
      </c>
      <c r="L22" s="2">
        <v>0.71313000000000004</v>
      </c>
      <c r="M22" s="3"/>
      <c r="N22" s="1" t="s">
        <v>20</v>
      </c>
      <c r="O22" s="2">
        <f t="shared" si="0"/>
        <v>-10.221020092735706</v>
      </c>
      <c r="P22" s="3"/>
      <c r="Q22" s="2">
        <v>7.5787900000000005E-2</v>
      </c>
      <c r="R22" s="2">
        <v>0.734101</v>
      </c>
      <c r="T22" s="1" t="s">
        <v>20</v>
      </c>
      <c r="U22" s="2">
        <f t="shared" si="1"/>
        <v>-13.462287480680059</v>
      </c>
    </row>
    <row r="23" spans="2:21" x14ac:dyDescent="0.25">
      <c r="B23" s="10"/>
      <c r="C23" s="10"/>
      <c r="D23" s="10"/>
      <c r="E23" s="10"/>
      <c r="F23" s="10">
        <v>16</v>
      </c>
      <c r="G23"/>
      <c r="H23" s="1" t="s">
        <v>20</v>
      </c>
      <c r="I23" s="1">
        <v>0.69699999999999995</v>
      </c>
      <c r="J23"/>
      <c r="K23" s="2">
        <v>7.86578E-2</v>
      </c>
      <c r="L23" s="2">
        <v>0.76763199999999998</v>
      </c>
      <c r="M23" s="3"/>
      <c r="N23" s="1" t="s">
        <v>20</v>
      </c>
      <c r="O23" s="2">
        <f t="shared" si="0"/>
        <v>-10.133715925394553</v>
      </c>
      <c r="P23" s="3"/>
      <c r="Q23" s="2">
        <v>7.3910600000000007E-2</v>
      </c>
      <c r="R23" s="2">
        <v>0.78443499999999999</v>
      </c>
      <c r="T23" s="1" t="s">
        <v>20</v>
      </c>
      <c r="U23" s="2">
        <f t="shared" si="1"/>
        <v>-12.54447632711622</v>
      </c>
    </row>
    <row r="24" spans="2:21" x14ac:dyDescent="0.25">
      <c r="B24" s="10"/>
      <c r="C24" s="10"/>
      <c r="D24" s="10"/>
      <c r="E24" s="10"/>
      <c r="F24" s="10">
        <v>17</v>
      </c>
      <c r="G24"/>
      <c r="H24" s="1" t="s">
        <v>20</v>
      </c>
      <c r="I24" s="1">
        <v>0.749</v>
      </c>
      <c r="J24"/>
      <c r="K24" s="2">
        <v>5.9822800000000002E-2</v>
      </c>
      <c r="L24" s="2">
        <v>0.83967800000000004</v>
      </c>
      <c r="M24" s="3"/>
      <c r="N24" s="1" t="s">
        <v>20</v>
      </c>
      <c r="O24" s="2">
        <f t="shared" si="0"/>
        <v>-12.106542056074771</v>
      </c>
      <c r="P24" s="3"/>
      <c r="Q24" s="2">
        <v>5.2867999999999998E-2</v>
      </c>
      <c r="R24" s="2">
        <v>0.85630399999999995</v>
      </c>
      <c r="T24" s="1" t="s">
        <v>20</v>
      </c>
      <c r="U24" s="2">
        <f t="shared" si="1"/>
        <v>-14.326301735647524</v>
      </c>
    </row>
    <row r="25" spans="2:21" x14ac:dyDescent="0.25">
      <c r="B25" s="10"/>
      <c r="C25" s="10"/>
      <c r="D25" s="10"/>
      <c r="E25" s="10"/>
      <c r="F25" s="10">
        <v>18</v>
      </c>
      <c r="G25"/>
      <c r="H25" s="1" t="s">
        <v>20</v>
      </c>
      <c r="I25" s="1">
        <v>0.79900000000000004</v>
      </c>
      <c r="J25"/>
      <c r="K25" s="2">
        <v>3.6829399999999998E-2</v>
      </c>
      <c r="L25" s="2">
        <v>0.84178600000000003</v>
      </c>
      <c r="M25" s="3"/>
      <c r="N25" s="1" t="s">
        <v>20</v>
      </c>
      <c r="O25" s="2">
        <f t="shared" si="0"/>
        <v>-5.354943679599498</v>
      </c>
      <c r="P25" s="3"/>
      <c r="Q25" s="2">
        <v>1.8879E-2</v>
      </c>
      <c r="R25" s="2">
        <v>0.55218299999999998</v>
      </c>
      <c r="T25" s="1" t="s">
        <v>20</v>
      </c>
      <c r="U25" s="2">
        <f t="shared" si="1"/>
        <v>30.890738423028793</v>
      </c>
    </row>
    <row r="26" spans="2:21" x14ac:dyDescent="0.25">
      <c r="B26" s="10"/>
      <c r="C26" s="10"/>
      <c r="D26" s="10"/>
      <c r="E26" s="10"/>
      <c r="F26" s="10">
        <v>19</v>
      </c>
      <c r="G26"/>
      <c r="H26" s="1" t="s">
        <v>20</v>
      </c>
      <c r="I26" s="1">
        <v>0.84599999999999997</v>
      </c>
      <c r="J26"/>
      <c r="K26" s="2">
        <v>1.5993799999999999E-2</v>
      </c>
      <c r="L26" s="2">
        <v>0.71401400000000004</v>
      </c>
      <c r="M26" s="3"/>
      <c r="N26" s="1" t="s">
        <v>20</v>
      </c>
      <c r="O26" s="2">
        <f t="shared" si="0"/>
        <v>15.60118203309692</v>
      </c>
      <c r="P26" s="3"/>
      <c r="Q26" s="2">
        <v>1.70768E-2</v>
      </c>
      <c r="R26" s="2">
        <v>0.79311100000000001</v>
      </c>
      <c r="T26" s="1" t="s">
        <v>20</v>
      </c>
      <c r="U26" s="2">
        <f t="shared" si="1"/>
        <v>6.2516548463356933</v>
      </c>
    </row>
    <row r="27" spans="2:21" x14ac:dyDescent="0.25">
      <c r="B27" s="10"/>
      <c r="C27" s="10"/>
      <c r="D27" s="10"/>
      <c r="E27" s="10"/>
      <c r="F27" s="10">
        <v>20</v>
      </c>
      <c r="G27"/>
      <c r="H27" s="1" t="s">
        <v>20</v>
      </c>
      <c r="I27" s="1">
        <v>0.90100000000000002</v>
      </c>
      <c r="J27"/>
      <c r="K27" s="2">
        <v>4.6247700000000003E-3</v>
      </c>
      <c r="L27" s="2">
        <v>0.74246199999999996</v>
      </c>
      <c r="M27" s="3"/>
      <c r="N27" s="1" t="s">
        <v>20</v>
      </c>
      <c r="O27" s="2">
        <f t="shared" si="0"/>
        <v>17.595782463928973</v>
      </c>
      <c r="P27" s="3"/>
      <c r="Q27" s="2">
        <v>-5.9083199999999999E-3</v>
      </c>
      <c r="R27" s="2">
        <v>0.82406199999999996</v>
      </c>
      <c r="T27" s="1" t="s">
        <v>20</v>
      </c>
      <c r="U27" s="2">
        <f t="shared" si="1"/>
        <v>8.5391786903440696</v>
      </c>
    </row>
    <row r="28" spans="2:21" x14ac:dyDescent="0.25">
      <c r="B28" s="10"/>
      <c r="C28" s="10"/>
      <c r="D28" s="10"/>
      <c r="E28" s="10"/>
      <c r="F28" s="10">
        <v>21</v>
      </c>
      <c r="G28"/>
      <c r="H28" s="1" t="s">
        <v>20</v>
      </c>
      <c r="I28" s="1">
        <v>0.94799999999999995</v>
      </c>
      <c r="J28"/>
      <c r="K28" s="2">
        <v>3.21725E-2</v>
      </c>
      <c r="L28" s="2">
        <v>0.85830899999999999</v>
      </c>
      <c r="M28" s="3"/>
      <c r="N28" s="1" t="s">
        <v>20</v>
      </c>
      <c r="O28" s="2">
        <f t="shared" si="0"/>
        <v>9.4610759493670855</v>
      </c>
      <c r="P28" s="3"/>
      <c r="Q28" s="2">
        <v>3.45028E-2</v>
      </c>
      <c r="R28" s="2">
        <v>0.92105899999999996</v>
      </c>
      <c r="T28" s="1" t="s">
        <v>20</v>
      </c>
      <c r="U28" s="2">
        <f t="shared" si="1"/>
        <v>2.8418776371308012</v>
      </c>
    </row>
    <row r="29" spans="2:21" x14ac:dyDescent="0.25">
      <c r="B29" s="10"/>
      <c r="C29" s="10"/>
      <c r="D29" s="10"/>
      <c r="E29" s="10"/>
      <c r="F29" s="10">
        <v>22</v>
      </c>
      <c r="G29"/>
      <c r="H29" s="1" t="s">
        <v>20</v>
      </c>
      <c r="I29" s="1">
        <v>0.998</v>
      </c>
      <c r="J29"/>
      <c r="K29" s="2">
        <v>5.1358399999999998E-2</v>
      </c>
      <c r="L29" s="2">
        <v>0.90127000000000002</v>
      </c>
      <c r="M29" s="3"/>
      <c r="N29" s="1" t="s">
        <v>20</v>
      </c>
      <c r="O29" s="2">
        <f>100*(I29-L29)/I29</f>
        <v>9.6923847695390766</v>
      </c>
      <c r="P29" s="3"/>
      <c r="Q29" s="2">
        <v>3.4403000000000003E-2</v>
      </c>
      <c r="R29" s="2">
        <v>0.63815500000000003</v>
      </c>
      <c r="T29" s="1" t="s">
        <v>20</v>
      </c>
      <c r="U29" s="2">
        <f t="shared" si="1"/>
        <v>36.056613226452903</v>
      </c>
    </row>
    <row r="30" spans="2:21" x14ac:dyDescent="0.25">
      <c r="B30" s="10"/>
      <c r="C30" s="10"/>
      <c r="D30" s="10"/>
      <c r="E30" s="10"/>
      <c r="F30" s="10">
        <v>23</v>
      </c>
      <c r="G30"/>
      <c r="H30" s="1" t="s">
        <v>20</v>
      </c>
      <c r="I30" s="1">
        <v>1.048</v>
      </c>
      <c r="J30"/>
      <c r="K30" s="2">
        <v>4.9769099999999997E-2</v>
      </c>
      <c r="L30" s="2">
        <v>0.76725399999999999</v>
      </c>
      <c r="M30" s="3"/>
      <c r="N30" s="1" t="s">
        <v>20</v>
      </c>
      <c r="O30" s="2">
        <f t="shared" si="0"/>
        <v>26.788740458015269</v>
      </c>
      <c r="P30" s="3"/>
      <c r="Q30" s="2">
        <v>5.16239E-2</v>
      </c>
      <c r="R30" s="2">
        <v>0.74902500000000005</v>
      </c>
      <c r="T30" s="1" t="s">
        <v>20</v>
      </c>
      <c r="U30" s="2">
        <f t="shared" si="1"/>
        <v>28.528148854961831</v>
      </c>
    </row>
    <row r="31" spans="2:21" x14ac:dyDescent="0.25">
      <c r="B31" s="10"/>
      <c r="C31" s="10"/>
      <c r="D31" s="10"/>
      <c r="E31" s="10"/>
      <c r="F31" s="10">
        <v>24</v>
      </c>
      <c r="G31"/>
      <c r="H31" s="1" t="s">
        <v>20</v>
      </c>
      <c r="I31" s="1">
        <v>1.0980000000000001</v>
      </c>
      <c r="J31"/>
      <c r="K31" s="2">
        <v>5.9744100000000001E-2</v>
      </c>
      <c r="L31" s="2">
        <v>0.68374400000000002</v>
      </c>
      <c r="M31" s="3"/>
      <c r="N31" s="1" t="s">
        <v>20</v>
      </c>
      <c r="O31" s="2">
        <f t="shared" si="0"/>
        <v>37.728233151183979</v>
      </c>
      <c r="P31" s="3"/>
      <c r="Q31" s="2">
        <v>6.79173E-2</v>
      </c>
      <c r="R31" s="2">
        <v>0.81466000000000005</v>
      </c>
      <c r="T31" s="1" t="s">
        <v>20</v>
      </c>
      <c r="U31" s="2">
        <f t="shared" si="1"/>
        <v>25.805100182149364</v>
      </c>
    </row>
    <row r="32" spans="2:21" x14ac:dyDescent="0.25">
      <c r="B32" s="10"/>
      <c r="C32" s="10"/>
      <c r="D32" s="10"/>
      <c r="E32" s="10"/>
      <c r="F32" s="10">
        <v>25</v>
      </c>
      <c r="G32"/>
      <c r="H32" s="1" t="s">
        <v>20</v>
      </c>
      <c r="I32" s="1">
        <v>1.1100000000000001</v>
      </c>
      <c r="J32"/>
      <c r="K32" s="2">
        <v>6.7779599999999995E-2</v>
      </c>
      <c r="L32" s="2">
        <v>0.77042500000000003</v>
      </c>
      <c r="M32" s="3"/>
      <c r="N32" s="1" t="s">
        <v>20</v>
      </c>
      <c r="O32" s="2">
        <f t="shared" si="0"/>
        <v>30.592342342342349</v>
      </c>
      <c r="P32" s="3"/>
      <c r="Q32" s="2">
        <v>7.2323100000000001E-2</v>
      </c>
      <c r="R32" s="2">
        <v>0.66396999999999995</v>
      </c>
      <c r="T32" s="1" t="s">
        <v>20</v>
      </c>
      <c r="U32" s="2">
        <f t="shared" si="1"/>
        <v>40.182882882882893</v>
      </c>
    </row>
    <row r="33" spans="2:21" x14ac:dyDescent="0.25">
      <c r="B33" s="10"/>
      <c r="C33" s="10"/>
      <c r="D33" s="10"/>
      <c r="E33" s="10"/>
      <c r="F33" s="10">
        <v>26</v>
      </c>
      <c r="G33"/>
      <c r="H33" s="1" t="s">
        <v>20</v>
      </c>
      <c r="I33" s="1">
        <v>1.1100000000000001</v>
      </c>
      <c r="J33"/>
      <c r="K33" s="2">
        <v>6.9847000000000006E-2</v>
      </c>
      <c r="L33" s="2">
        <v>0.75878599999999996</v>
      </c>
      <c r="M33" s="3"/>
      <c r="N33" s="1" t="s">
        <v>20</v>
      </c>
      <c r="O33" s="2">
        <f t="shared" si="0"/>
        <v>31.640900900900913</v>
      </c>
      <c r="P33" s="3"/>
      <c r="Q33" s="2">
        <v>7.2484499999999993E-2</v>
      </c>
      <c r="R33" s="2">
        <v>0.76179799999999998</v>
      </c>
      <c r="T33" s="1" t="s">
        <v>20</v>
      </c>
      <c r="U33" s="2">
        <f t="shared" si="1"/>
        <v>31.369549549549561</v>
      </c>
    </row>
    <row r="34" spans="2:21" x14ac:dyDescent="0.25">
      <c r="B34" s="10"/>
      <c r="C34" s="10"/>
      <c r="D34" s="10"/>
      <c r="E34" s="10"/>
      <c r="F34" s="10">
        <v>27</v>
      </c>
      <c r="G34"/>
      <c r="H34" s="1" t="s">
        <v>20</v>
      </c>
      <c r="I34" s="1">
        <v>1.1100000000000001</v>
      </c>
      <c r="J34"/>
      <c r="K34" s="2">
        <v>6.7871100000000004E-2</v>
      </c>
      <c r="L34" s="2">
        <v>0.67868300000000004</v>
      </c>
      <c r="M34" s="3"/>
      <c r="N34" s="1" t="s">
        <v>20</v>
      </c>
      <c r="O34" s="2">
        <f t="shared" si="0"/>
        <v>38.857387387387391</v>
      </c>
      <c r="P34" s="3"/>
      <c r="Q34" s="2">
        <v>6.9220900000000002E-2</v>
      </c>
      <c r="R34" s="2">
        <v>0.72509699999999999</v>
      </c>
      <c r="T34" s="1" t="s">
        <v>20</v>
      </c>
      <c r="U34" s="2">
        <f t="shared" si="1"/>
        <v>34.675945945945955</v>
      </c>
    </row>
    <row r="35" spans="2:21" x14ac:dyDescent="0.25">
      <c r="B35" s="10"/>
      <c r="C35" s="10"/>
      <c r="D35" s="10"/>
      <c r="E35" s="10"/>
      <c r="F35" s="10">
        <v>28</v>
      </c>
      <c r="G35"/>
      <c r="H35" s="1" t="s">
        <v>20</v>
      </c>
      <c r="I35" s="1">
        <v>1.1100000000000001</v>
      </c>
      <c r="J35"/>
      <c r="K35" s="2">
        <v>6.7956500000000003E-2</v>
      </c>
      <c r="L35" s="2">
        <v>0.72660499999999995</v>
      </c>
      <c r="M35" s="3"/>
      <c r="N35" s="1" t="s">
        <v>20</v>
      </c>
      <c r="O35" s="2">
        <f t="shared" si="0"/>
        <v>34.540090090090104</v>
      </c>
      <c r="P35" s="3"/>
      <c r="Q35" s="2">
        <v>7.1937399999999999E-2</v>
      </c>
      <c r="R35" s="2">
        <v>0.76711200000000002</v>
      </c>
      <c r="T35" s="1" t="s">
        <v>20</v>
      </c>
      <c r="U35" s="2">
        <f t="shared" si="1"/>
        <v>30.890810810810816</v>
      </c>
    </row>
    <row r="36" spans="2:21" x14ac:dyDescent="0.25">
      <c r="B36" s="10"/>
      <c r="C36" s="10"/>
      <c r="D36" s="10"/>
      <c r="E36" s="10"/>
      <c r="F36" s="10">
        <v>29</v>
      </c>
      <c r="G36"/>
      <c r="H36" s="1" t="s">
        <v>20</v>
      </c>
      <c r="I36" s="1">
        <v>1.1100000000000001</v>
      </c>
      <c r="J36"/>
      <c r="K36" s="2">
        <v>6.4601699999999998E-2</v>
      </c>
      <c r="L36" s="2">
        <v>0.75117999999999996</v>
      </c>
      <c r="M36" s="3"/>
      <c r="N36" s="1" t="s">
        <v>20</v>
      </c>
      <c r="O36" s="2">
        <f t="shared" si="0"/>
        <v>32.326126126126134</v>
      </c>
      <c r="P36" s="3"/>
      <c r="Q36" s="2">
        <v>7.0796399999999995E-2</v>
      </c>
      <c r="R36" s="2">
        <v>0.76943099999999998</v>
      </c>
      <c r="T36" s="1" t="s">
        <v>20</v>
      </c>
      <c r="U36" s="2">
        <f t="shared" si="1"/>
        <v>30.681891891891901</v>
      </c>
    </row>
  </sheetData>
  <conditionalFormatting sqref="O8:O36">
    <cfRule type="colorScale" priority="4">
      <colorScale>
        <cfvo type="num" val="-70"/>
        <cfvo type="percentile" val="0"/>
        <cfvo type="num" val="70"/>
        <color rgb="FFF8696B"/>
        <color rgb="FFFCFCFF"/>
        <color rgb="FF63BE7B"/>
      </colorScale>
    </cfRule>
  </conditionalFormatting>
  <conditionalFormatting sqref="U8:U36">
    <cfRule type="colorScale" priority="3">
      <colorScale>
        <cfvo type="num" val="-70"/>
        <cfvo type="percentile" val="0"/>
        <cfvo type="num" val="70"/>
        <color rgb="FFF8696B"/>
        <color rgb="FFFCFCFF"/>
        <color rgb="FF63BE7B"/>
      </colorScale>
    </cfRule>
  </conditionalFormatting>
  <conditionalFormatting sqref="O9:O36">
    <cfRule type="colorScale" priority="2">
      <colorScale>
        <cfvo type="num" val="-70"/>
        <cfvo type="percentile" val="50"/>
        <cfvo type="num" val="70"/>
        <color rgb="FFF8696B"/>
        <color rgb="FFFCFCFF"/>
        <color rgb="FF63BE7B"/>
      </colorScale>
    </cfRule>
  </conditionalFormatting>
  <conditionalFormatting sqref="U9:U36">
    <cfRule type="colorScale" priority="1">
      <colorScale>
        <cfvo type="num" val="-70"/>
        <cfvo type="percentile" val="50"/>
        <cfvo type="num" val="70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6"/>
  <sheetViews>
    <sheetView workbookViewId="0">
      <selection activeCell="Q7" sqref="Q7:R36"/>
    </sheetView>
  </sheetViews>
  <sheetFormatPr defaultRowHeight="15" x14ac:dyDescent="0.25"/>
  <cols>
    <col min="2" max="6" width="9.140625" style="2"/>
    <col min="7" max="10" width="9.140625" style="3"/>
    <col min="11" max="12" width="9.140625" style="2"/>
    <col min="14" max="14" width="9.140625" customWidth="1"/>
    <col min="17" max="18" width="9.140625" style="1"/>
    <col min="20" max="21" width="9.140625" style="2"/>
  </cols>
  <sheetData>
    <row r="2" spans="2:21" x14ac:dyDescent="0.25">
      <c r="B2" s="4" t="s">
        <v>21</v>
      </c>
    </row>
    <row r="3" spans="2:21" x14ac:dyDescent="0.25">
      <c r="B3" s="4"/>
    </row>
    <row r="5" spans="2:21" s="6" customFormat="1" x14ac:dyDescent="0.25">
      <c r="B5" s="9"/>
      <c r="C5" s="9" t="s">
        <v>14</v>
      </c>
      <c r="D5" s="9"/>
      <c r="E5" s="9"/>
      <c r="F5" s="9" t="s">
        <v>15</v>
      </c>
      <c r="H5" s="14" t="s">
        <v>17</v>
      </c>
      <c r="K5" s="4" t="s">
        <v>0</v>
      </c>
      <c r="M5" s="5"/>
      <c r="N5" s="12" t="s">
        <v>18</v>
      </c>
      <c r="P5" s="5"/>
      <c r="Q5" s="4" t="s">
        <v>3</v>
      </c>
      <c r="T5" s="12" t="s">
        <v>19</v>
      </c>
    </row>
    <row r="6" spans="2:21" s="6" customFormat="1" x14ac:dyDescent="0.25">
      <c r="B6" s="7"/>
      <c r="C6" s="7"/>
      <c r="D6" s="7"/>
      <c r="E6" s="9"/>
      <c r="F6" s="13" t="s">
        <v>16</v>
      </c>
      <c r="H6" s="13" t="s">
        <v>1</v>
      </c>
      <c r="I6" s="13" t="s">
        <v>2</v>
      </c>
      <c r="K6" s="7" t="s">
        <v>1</v>
      </c>
      <c r="L6" s="7" t="s">
        <v>2</v>
      </c>
      <c r="M6" s="5"/>
      <c r="N6" s="8" t="s">
        <v>1</v>
      </c>
      <c r="O6" s="8" t="s">
        <v>2</v>
      </c>
      <c r="P6" s="5"/>
      <c r="Q6" s="7" t="s">
        <v>1</v>
      </c>
      <c r="R6" s="7" t="s">
        <v>2</v>
      </c>
      <c r="T6" s="8" t="s">
        <v>1</v>
      </c>
      <c r="U6" s="8" t="s">
        <v>2</v>
      </c>
    </row>
    <row r="7" spans="2:21" x14ac:dyDescent="0.25">
      <c r="B7" s="11" t="s">
        <v>4</v>
      </c>
      <c r="C7" s="10">
        <v>320</v>
      </c>
      <c r="D7" s="10" t="s">
        <v>9</v>
      </c>
      <c r="E7" s="10"/>
      <c r="F7" s="10">
        <v>0</v>
      </c>
      <c r="G7"/>
      <c r="H7" s="1" t="s">
        <v>20</v>
      </c>
      <c r="I7" s="1">
        <v>0</v>
      </c>
      <c r="J7"/>
      <c r="K7" s="2">
        <v>0</v>
      </c>
      <c r="L7" s="2">
        <v>0</v>
      </c>
      <c r="M7" s="3"/>
      <c r="N7" s="1" t="s">
        <v>20</v>
      </c>
      <c r="O7" s="2">
        <v>0</v>
      </c>
      <c r="P7" s="3"/>
      <c r="Q7" s="2">
        <v>0</v>
      </c>
      <c r="R7" s="2">
        <v>0</v>
      </c>
      <c r="T7" s="1" t="s">
        <v>20</v>
      </c>
      <c r="U7" s="2">
        <v>0</v>
      </c>
    </row>
    <row r="8" spans="2:21" x14ac:dyDescent="0.25">
      <c r="B8" s="11" t="s">
        <v>5</v>
      </c>
      <c r="C8" s="10">
        <v>240</v>
      </c>
      <c r="D8" s="10" t="s">
        <v>9</v>
      </c>
      <c r="E8" s="10"/>
      <c r="F8" s="10">
        <v>1</v>
      </c>
      <c r="G8"/>
      <c r="H8" s="1" t="s">
        <v>20</v>
      </c>
      <c r="I8" s="1">
        <v>0</v>
      </c>
      <c r="J8"/>
      <c r="K8" s="2">
        <v>2.0021499999999999E-12</v>
      </c>
      <c r="L8" s="2">
        <v>3.7304600000000002E-11</v>
      </c>
      <c r="M8" s="3"/>
      <c r="N8" s="1" t="s">
        <v>20</v>
      </c>
      <c r="O8" s="2" t="e">
        <f t="shared" ref="O8:O36" si="0">100*(I8-L8)/I8</f>
        <v>#DIV/0!</v>
      </c>
      <c r="P8" s="3"/>
      <c r="Q8" s="2">
        <v>-6.1966099999999998E-12</v>
      </c>
      <c r="R8" s="2">
        <v>-1.9174199999999999E-15</v>
      </c>
      <c r="T8" s="1" t="s">
        <v>20</v>
      </c>
      <c r="U8" s="2" t="e">
        <f t="shared" ref="U8" si="1">100*(I8-R8)/I8</f>
        <v>#DIV/0!</v>
      </c>
    </row>
    <row r="9" spans="2:21" x14ac:dyDescent="0.25">
      <c r="B9" s="11" t="s">
        <v>6</v>
      </c>
      <c r="C9" s="10">
        <v>52.2</v>
      </c>
      <c r="D9" s="10" t="s">
        <v>8</v>
      </c>
      <c r="E9" s="10"/>
      <c r="F9" s="10">
        <v>2</v>
      </c>
      <c r="G9"/>
      <c r="H9" s="1" t="s">
        <v>20</v>
      </c>
      <c r="I9" s="1">
        <v>1E-3</v>
      </c>
      <c r="J9"/>
      <c r="K9" s="2">
        <v>1.2138000000000001E-4</v>
      </c>
      <c r="L9" s="2">
        <v>3.0785300000000002E-4</v>
      </c>
      <c r="M9" s="3"/>
      <c r="N9" s="1" t="s">
        <v>20</v>
      </c>
      <c r="O9" s="2">
        <f t="shared" si="0"/>
        <v>69.214699999999993</v>
      </c>
      <c r="P9" s="3"/>
      <c r="Q9" s="2">
        <v>1.21378E-4</v>
      </c>
      <c r="R9" s="2">
        <v>3.07855E-4</v>
      </c>
      <c r="T9" s="1" t="s">
        <v>20</v>
      </c>
      <c r="U9" s="2">
        <f>100*(I9-R9)/I9</f>
        <v>69.214500000000001</v>
      </c>
    </row>
    <row r="10" spans="2:21" x14ac:dyDescent="0.25">
      <c r="B10" s="11" t="s">
        <v>7</v>
      </c>
      <c r="C10" s="10">
        <v>66.7</v>
      </c>
      <c r="D10" s="10" t="s">
        <v>8</v>
      </c>
      <c r="E10" s="10"/>
      <c r="F10" s="10">
        <v>3</v>
      </c>
      <c r="G10"/>
      <c r="H10" s="1" t="s">
        <v>20</v>
      </c>
      <c r="I10" s="1">
        <v>4.7E-2</v>
      </c>
      <c r="J10"/>
      <c r="K10" s="2">
        <v>5.7808099999999999E-3</v>
      </c>
      <c r="L10" s="2">
        <v>4.8220100000000002E-2</v>
      </c>
      <c r="M10" s="3"/>
      <c r="N10" s="1" t="s">
        <v>20</v>
      </c>
      <c r="O10" s="2">
        <f t="shared" si="0"/>
        <v>-2.5959574468085145</v>
      </c>
      <c r="P10" s="3"/>
      <c r="Q10" s="2">
        <v>-2.3380499999999999E-2</v>
      </c>
      <c r="R10" s="2">
        <v>4.6055600000000002E-2</v>
      </c>
      <c r="T10" s="1" t="s">
        <v>20</v>
      </c>
      <c r="U10" s="2">
        <f t="shared" ref="U10:U36" si="2">100*(I10-R10)/I10</f>
        <v>2.0093617021276553</v>
      </c>
    </row>
    <row r="11" spans="2:21" x14ac:dyDescent="0.25">
      <c r="B11" s="11" t="s">
        <v>11</v>
      </c>
      <c r="C11" s="10">
        <v>0</v>
      </c>
      <c r="D11" s="10" t="s">
        <v>8</v>
      </c>
      <c r="E11" s="10"/>
      <c r="F11" s="10">
        <v>4</v>
      </c>
      <c r="G11"/>
      <c r="H11" s="1" t="s">
        <v>20</v>
      </c>
      <c r="I11" s="1">
        <v>9.7000000000000003E-2</v>
      </c>
      <c r="J11"/>
      <c r="K11" s="2">
        <v>3.1901199999999997E-4</v>
      </c>
      <c r="L11" s="2">
        <v>0.10000299999999999</v>
      </c>
      <c r="M11" s="3"/>
      <c r="N11" s="1" t="s">
        <v>20</v>
      </c>
      <c r="O11" s="2">
        <f t="shared" si="0"/>
        <v>-3.095876288659785</v>
      </c>
      <c r="P11" s="3"/>
      <c r="Q11" s="2">
        <v>4.8321700000000002E-3</v>
      </c>
      <c r="R11" s="2">
        <v>0.100337</v>
      </c>
      <c r="T11" s="1" t="s">
        <v>20</v>
      </c>
      <c r="U11" s="2">
        <f t="shared" si="2"/>
        <v>-3.4402061855670025</v>
      </c>
    </row>
    <row r="12" spans="2:21" x14ac:dyDescent="0.25">
      <c r="B12" s="11" t="s">
        <v>10</v>
      </c>
      <c r="C12" s="10">
        <v>45</v>
      </c>
      <c r="D12" s="10" t="s">
        <v>8</v>
      </c>
      <c r="E12" s="10"/>
      <c r="F12" s="10">
        <v>5</v>
      </c>
      <c r="G12"/>
      <c r="H12" s="1" t="s">
        <v>20</v>
      </c>
      <c r="I12" s="1">
        <v>0.14699999999999999</v>
      </c>
      <c r="J12"/>
      <c r="K12" s="2">
        <v>1.72461E-2</v>
      </c>
      <c r="L12" s="2">
        <v>0.15948999999999999</v>
      </c>
      <c r="M12" s="3"/>
      <c r="N12" s="1" t="s">
        <v>20</v>
      </c>
      <c r="O12" s="2">
        <f t="shared" si="0"/>
        <v>-8.4965986394557831</v>
      </c>
      <c r="P12" s="3"/>
      <c r="Q12" s="2">
        <v>2.3383299999999999E-2</v>
      </c>
      <c r="R12" s="2">
        <v>0.159667</v>
      </c>
      <c r="T12" s="1" t="s">
        <v>20</v>
      </c>
      <c r="U12" s="2">
        <f t="shared" si="2"/>
        <v>-8.6170068027210966</v>
      </c>
    </row>
    <row r="13" spans="2:21" x14ac:dyDescent="0.25">
      <c r="B13" s="11" t="s">
        <v>12</v>
      </c>
      <c r="C13" s="10">
        <v>0.52</v>
      </c>
      <c r="D13" s="10" t="s">
        <v>13</v>
      </c>
      <c r="E13" s="10"/>
      <c r="F13" s="10">
        <v>6</v>
      </c>
      <c r="G13"/>
      <c r="H13" s="1" t="s">
        <v>20</v>
      </c>
      <c r="I13" s="1">
        <v>0.19700000000000001</v>
      </c>
      <c r="J13"/>
      <c r="K13" s="2">
        <v>6.4386699999999996E-3</v>
      </c>
      <c r="L13" s="2">
        <v>0.19633300000000001</v>
      </c>
      <c r="M13" s="3"/>
      <c r="N13" s="1" t="s">
        <v>20</v>
      </c>
      <c r="O13" s="2">
        <f t="shared" si="0"/>
        <v>0.33857868020304616</v>
      </c>
      <c r="P13" s="3"/>
      <c r="Q13" s="2">
        <v>1.6091399999999999E-2</v>
      </c>
      <c r="R13" s="2">
        <v>0.19937199999999999</v>
      </c>
      <c r="T13" s="1" t="s">
        <v>20</v>
      </c>
      <c r="U13" s="2">
        <f t="shared" si="2"/>
        <v>-1.2040609137055762</v>
      </c>
    </row>
    <row r="14" spans="2:21" x14ac:dyDescent="0.25">
      <c r="B14" s="10"/>
      <c r="C14" s="10"/>
      <c r="D14" s="10"/>
      <c r="E14" s="10"/>
      <c r="F14" s="10">
        <v>7</v>
      </c>
      <c r="G14"/>
      <c r="H14" s="1" t="s">
        <v>20</v>
      </c>
      <c r="I14" s="1">
        <v>0.247</v>
      </c>
      <c r="J14"/>
      <c r="K14" s="2">
        <v>8.9220900000000006E-3</v>
      </c>
      <c r="L14" s="2">
        <v>0.25976500000000002</v>
      </c>
      <c r="M14" s="3"/>
      <c r="N14" s="1" t="s">
        <v>20</v>
      </c>
      <c r="O14" s="2">
        <f t="shared" si="0"/>
        <v>-5.1680161943319947</v>
      </c>
      <c r="P14" s="3"/>
      <c r="Q14" s="2">
        <v>1.6883800000000001E-2</v>
      </c>
      <c r="R14" s="2">
        <v>0.28201999999999999</v>
      </c>
      <c r="T14" s="1" t="s">
        <v>20</v>
      </c>
      <c r="U14" s="2">
        <f t="shared" si="2"/>
        <v>-14.178137651821862</v>
      </c>
    </row>
    <row r="15" spans="2:21" x14ac:dyDescent="0.25">
      <c r="B15" s="10"/>
      <c r="C15" s="10"/>
      <c r="D15" s="10"/>
      <c r="E15" s="10"/>
      <c r="F15" s="10">
        <v>8</v>
      </c>
      <c r="G15"/>
      <c r="H15" s="1" t="s">
        <v>20</v>
      </c>
      <c r="I15" s="1">
        <v>0.29699999999999999</v>
      </c>
      <c r="J15"/>
      <c r="K15" s="2">
        <v>8.7714999999999998E-3</v>
      </c>
      <c r="L15" s="2">
        <v>0.29966599999999999</v>
      </c>
      <c r="M15" s="3"/>
      <c r="N15" s="1" t="s">
        <v>20</v>
      </c>
      <c r="O15" s="2">
        <f t="shared" si="0"/>
        <v>-0.89764309764309824</v>
      </c>
      <c r="P15" s="3"/>
      <c r="Q15" s="2">
        <v>1.34448E-2</v>
      </c>
      <c r="R15" s="2">
        <v>0.33168300000000001</v>
      </c>
      <c r="T15" s="1" t="s">
        <v>20</v>
      </c>
      <c r="U15" s="2">
        <f t="shared" si="2"/>
        <v>-11.677777777777784</v>
      </c>
    </row>
    <row r="16" spans="2:21" x14ac:dyDescent="0.25">
      <c r="B16" s="10"/>
      <c r="C16" s="10"/>
      <c r="D16" s="10"/>
      <c r="E16" s="10"/>
      <c r="F16" s="10">
        <v>9</v>
      </c>
      <c r="G16"/>
      <c r="H16" s="1" t="s">
        <v>20</v>
      </c>
      <c r="I16" s="1">
        <v>0.34699999999999998</v>
      </c>
      <c r="J16"/>
      <c r="K16" s="2">
        <v>2.03348E-2</v>
      </c>
      <c r="L16" s="2">
        <v>0.35582900000000001</v>
      </c>
      <c r="M16" s="3"/>
      <c r="N16" s="1" t="s">
        <v>20</v>
      </c>
      <c r="O16" s="2">
        <f t="shared" si="0"/>
        <v>-2.5443804034582223</v>
      </c>
      <c r="P16" s="3"/>
      <c r="Q16" s="2">
        <v>-1.8783399999999999E-2</v>
      </c>
      <c r="R16" s="2">
        <v>0.37439</v>
      </c>
      <c r="T16" s="1" t="s">
        <v>20</v>
      </c>
      <c r="U16" s="2">
        <f t="shared" si="2"/>
        <v>-7.8933717579250802</v>
      </c>
    </row>
    <row r="17" spans="2:21" x14ac:dyDescent="0.25">
      <c r="B17" s="10"/>
      <c r="C17" s="10"/>
      <c r="D17" s="10"/>
      <c r="E17" s="10"/>
      <c r="F17" s="10">
        <v>10</v>
      </c>
      <c r="G17"/>
      <c r="H17" s="1" t="s">
        <v>20</v>
      </c>
      <c r="I17" s="1">
        <v>0.39700000000000002</v>
      </c>
      <c r="J17"/>
      <c r="K17" s="2">
        <v>2.6831899999999999E-2</v>
      </c>
      <c r="L17" s="2">
        <v>0.45343600000000001</v>
      </c>
      <c r="M17" s="3"/>
      <c r="N17" s="1" t="s">
        <v>20</v>
      </c>
      <c r="O17" s="2">
        <f t="shared" si="0"/>
        <v>-14.215617128463471</v>
      </c>
      <c r="P17" s="3"/>
      <c r="Q17" s="2">
        <v>4.5877599999999998E-2</v>
      </c>
      <c r="R17" s="2">
        <v>0.47652099999999997</v>
      </c>
      <c r="T17" s="1" t="s">
        <v>20</v>
      </c>
      <c r="U17" s="2">
        <f t="shared" si="2"/>
        <v>-20.030478589420643</v>
      </c>
    </row>
    <row r="18" spans="2:21" x14ac:dyDescent="0.25">
      <c r="B18" s="10"/>
      <c r="C18" s="10"/>
      <c r="D18" s="10"/>
      <c r="E18" s="10"/>
      <c r="F18" s="10">
        <v>11</v>
      </c>
      <c r="G18"/>
      <c r="H18" s="1" t="s">
        <v>20</v>
      </c>
      <c r="I18" s="1">
        <v>0.44700000000000001</v>
      </c>
      <c r="J18"/>
      <c r="K18" s="2">
        <v>3.0778300000000001E-2</v>
      </c>
      <c r="L18" s="2">
        <v>0.47192600000000001</v>
      </c>
      <c r="M18" s="3"/>
      <c r="N18" s="1" t="s">
        <v>20</v>
      </c>
      <c r="O18" s="2">
        <f t="shared" si="0"/>
        <v>-5.5762863534675624</v>
      </c>
      <c r="P18" s="3"/>
      <c r="Q18" s="2">
        <v>2.6908899999999999E-2</v>
      </c>
      <c r="R18" s="2">
        <v>0.46551900000000002</v>
      </c>
      <c r="T18" s="1" t="s">
        <v>20</v>
      </c>
      <c r="U18" s="2">
        <f t="shared" si="2"/>
        <v>-4.1429530201342297</v>
      </c>
    </row>
    <row r="19" spans="2:21" x14ac:dyDescent="0.25">
      <c r="B19" s="10"/>
      <c r="C19" s="10"/>
      <c r="D19" s="10"/>
      <c r="E19" s="10"/>
      <c r="F19" s="10">
        <v>12</v>
      </c>
      <c r="G19"/>
      <c r="H19" s="1" t="s">
        <v>20</v>
      </c>
      <c r="I19" s="1">
        <v>0.497</v>
      </c>
      <c r="J19"/>
      <c r="K19" s="2">
        <v>4.0430000000000001E-2</v>
      </c>
      <c r="L19" s="2">
        <v>0.55212300000000003</v>
      </c>
      <c r="M19" s="3"/>
      <c r="N19" s="1" t="s">
        <v>20</v>
      </c>
      <c r="O19" s="2">
        <f t="shared" si="0"/>
        <v>-11.091146881287733</v>
      </c>
      <c r="P19" s="3"/>
      <c r="Q19" s="2">
        <v>3.5493799999999999E-2</v>
      </c>
      <c r="R19" s="2">
        <v>0.55902799999999997</v>
      </c>
      <c r="T19" s="1" t="s">
        <v>20</v>
      </c>
      <c r="U19" s="2">
        <f t="shared" si="2"/>
        <v>-12.480482897384301</v>
      </c>
    </row>
    <row r="20" spans="2:21" x14ac:dyDescent="0.25">
      <c r="B20" s="10"/>
      <c r="C20" s="10"/>
      <c r="D20" s="10"/>
      <c r="E20" s="10"/>
      <c r="F20" s="10">
        <v>13</v>
      </c>
      <c r="G20"/>
      <c r="H20" s="1" t="s">
        <v>20</v>
      </c>
      <c r="I20" s="1">
        <v>0.54700000000000004</v>
      </c>
      <c r="J20"/>
      <c r="K20" s="2">
        <v>6.4198400000000003E-2</v>
      </c>
      <c r="L20" s="2">
        <v>0.60636800000000002</v>
      </c>
      <c r="M20" s="3"/>
      <c r="N20" s="1" t="s">
        <v>20</v>
      </c>
      <c r="O20" s="2">
        <f t="shared" si="0"/>
        <v>-10.85338208409506</v>
      </c>
      <c r="P20" s="3"/>
      <c r="Q20" s="2">
        <v>7.1880600000000003E-2</v>
      </c>
      <c r="R20" s="2">
        <v>0.62739199999999995</v>
      </c>
      <c r="T20" s="1" t="s">
        <v>20</v>
      </c>
      <c r="U20" s="2">
        <f t="shared" si="2"/>
        <v>-14.696892138939653</v>
      </c>
    </row>
    <row r="21" spans="2:21" x14ac:dyDescent="0.25">
      <c r="B21" s="10"/>
      <c r="C21" s="10"/>
      <c r="D21" s="10"/>
      <c r="E21" s="10"/>
      <c r="F21" s="10">
        <v>14</v>
      </c>
      <c r="G21"/>
      <c r="H21" s="1" t="s">
        <v>20</v>
      </c>
      <c r="I21" s="1">
        <v>0.59699999999999998</v>
      </c>
      <c r="J21"/>
      <c r="K21" s="2">
        <v>5.7146000000000002E-2</v>
      </c>
      <c r="L21" s="2">
        <v>0.65644100000000005</v>
      </c>
      <c r="M21" s="3"/>
      <c r="N21" s="1" t="s">
        <v>20</v>
      </c>
      <c r="O21" s="2">
        <f t="shared" si="0"/>
        <v>-9.956616415410398</v>
      </c>
      <c r="P21" s="3"/>
      <c r="Q21" s="2">
        <v>4.9201399999999999E-2</v>
      </c>
      <c r="R21" s="2">
        <v>0.68097300000000005</v>
      </c>
      <c r="T21" s="1" t="s">
        <v>20</v>
      </c>
      <c r="U21" s="2">
        <f t="shared" si="2"/>
        <v>-14.065829145728658</v>
      </c>
    </row>
    <row r="22" spans="2:21" x14ac:dyDescent="0.25">
      <c r="B22" s="10"/>
      <c r="C22" s="10"/>
      <c r="D22" s="10"/>
      <c r="E22" s="10"/>
      <c r="F22" s="10">
        <v>15</v>
      </c>
      <c r="G22"/>
      <c r="H22" s="1" t="s">
        <v>20</v>
      </c>
      <c r="I22" s="1">
        <v>0.64700000000000002</v>
      </c>
      <c r="J22"/>
      <c r="K22" s="2">
        <v>7.5077599999999994E-2</v>
      </c>
      <c r="L22" s="2">
        <v>0.71424900000000002</v>
      </c>
      <c r="M22" s="3"/>
      <c r="N22" s="1" t="s">
        <v>20</v>
      </c>
      <c r="O22" s="2">
        <f t="shared" si="0"/>
        <v>-10.393972179289026</v>
      </c>
      <c r="P22" s="3"/>
      <c r="Q22" s="2">
        <v>7.5787900000000005E-2</v>
      </c>
      <c r="R22" s="2">
        <v>0.73535099999999998</v>
      </c>
      <c r="T22" s="1" t="s">
        <v>20</v>
      </c>
      <c r="U22" s="2">
        <f t="shared" si="2"/>
        <v>-13.655486862442032</v>
      </c>
    </row>
    <row r="23" spans="2:21" x14ac:dyDescent="0.25">
      <c r="B23" s="10"/>
      <c r="C23" s="10"/>
      <c r="D23" s="10"/>
      <c r="E23" s="10"/>
      <c r="F23" s="10">
        <v>16</v>
      </c>
      <c r="G23"/>
      <c r="H23" s="1" t="s">
        <v>20</v>
      </c>
      <c r="I23" s="1">
        <v>0.69699999999999995</v>
      </c>
      <c r="J23"/>
      <c r="K23" s="2">
        <v>7.86578E-2</v>
      </c>
      <c r="L23" s="2">
        <v>0.76863499999999996</v>
      </c>
      <c r="M23" s="3"/>
      <c r="N23" s="1" t="s">
        <v>20</v>
      </c>
      <c r="O23" s="2">
        <f t="shared" si="0"/>
        <v>-10.27761836441894</v>
      </c>
      <c r="P23" s="3"/>
      <c r="Q23" s="2">
        <v>7.3910600000000007E-2</v>
      </c>
      <c r="R23" s="2">
        <v>0.78541300000000003</v>
      </c>
      <c r="T23" s="1" t="s">
        <v>20</v>
      </c>
      <c r="U23" s="2">
        <f t="shared" si="2"/>
        <v>-12.684791965566726</v>
      </c>
    </row>
    <row r="24" spans="2:21" x14ac:dyDescent="0.25">
      <c r="B24" s="10"/>
      <c r="C24" s="10"/>
      <c r="D24" s="10"/>
      <c r="E24" s="10"/>
      <c r="F24" s="10">
        <v>17</v>
      </c>
      <c r="G24"/>
      <c r="H24" s="1" t="s">
        <v>20</v>
      </c>
      <c r="I24" s="1">
        <v>0.749</v>
      </c>
      <c r="J24"/>
      <c r="K24" s="2">
        <v>5.9822800000000002E-2</v>
      </c>
      <c r="L24" s="2">
        <v>0.84114299999999997</v>
      </c>
      <c r="M24" s="3"/>
      <c r="N24" s="1" t="s">
        <v>20</v>
      </c>
      <c r="O24" s="2">
        <f t="shared" si="0"/>
        <v>-12.302136181575431</v>
      </c>
      <c r="P24" s="3"/>
      <c r="Q24" s="2">
        <v>5.2867999999999998E-2</v>
      </c>
      <c r="R24" s="2">
        <v>0.85796700000000004</v>
      </c>
      <c r="T24" s="1" t="s">
        <v>20</v>
      </c>
      <c r="U24" s="2">
        <f t="shared" si="2"/>
        <v>-14.548331108144195</v>
      </c>
    </row>
    <row r="25" spans="2:21" x14ac:dyDescent="0.25">
      <c r="B25" s="10"/>
      <c r="C25" s="10"/>
      <c r="D25" s="10"/>
      <c r="E25" s="10"/>
      <c r="F25" s="10">
        <v>18</v>
      </c>
      <c r="G25"/>
      <c r="H25" s="1" t="s">
        <v>20</v>
      </c>
      <c r="I25" s="1">
        <v>0.79900000000000004</v>
      </c>
      <c r="J25"/>
      <c r="K25" s="2">
        <v>3.6829399999999998E-2</v>
      </c>
      <c r="L25" s="2">
        <v>0.84268799999999999</v>
      </c>
      <c r="M25" s="3"/>
      <c r="N25" s="1" t="s">
        <v>20</v>
      </c>
      <c r="O25" s="2">
        <f t="shared" si="0"/>
        <v>-5.4678347934918579</v>
      </c>
      <c r="P25" s="3"/>
      <c r="Q25" s="2">
        <v>1.8879E-2</v>
      </c>
      <c r="R25" s="2">
        <v>0.55301699999999998</v>
      </c>
      <c r="T25" s="1" t="s">
        <v>20</v>
      </c>
      <c r="U25" s="2">
        <f t="shared" si="2"/>
        <v>30.786357947434297</v>
      </c>
    </row>
    <row r="26" spans="2:21" x14ac:dyDescent="0.25">
      <c r="B26" s="10"/>
      <c r="C26" s="10"/>
      <c r="D26" s="10"/>
      <c r="E26" s="10"/>
      <c r="F26" s="10">
        <v>19</v>
      </c>
      <c r="G26"/>
      <c r="H26" s="1" t="s">
        <v>20</v>
      </c>
      <c r="I26" s="1">
        <v>0.84599999999999997</v>
      </c>
      <c r="J26"/>
      <c r="K26" s="2">
        <v>1.5993799999999999E-2</v>
      </c>
      <c r="L26" s="2">
        <v>0.71471899999999999</v>
      </c>
      <c r="M26" s="3"/>
      <c r="N26" s="1" t="s">
        <v>20</v>
      </c>
      <c r="O26" s="2">
        <f t="shared" si="0"/>
        <v>15.517848699763592</v>
      </c>
      <c r="P26" s="3"/>
      <c r="Q26" s="2">
        <v>1.70768E-2</v>
      </c>
      <c r="R26" s="2">
        <v>0.79395499999999997</v>
      </c>
      <c r="T26" s="1" t="s">
        <v>20</v>
      </c>
      <c r="U26" s="2">
        <f t="shared" si="2"/>
        <v>6.1518912529550844</v>
      </c>
    </row>
    <row r="27" spans="2:21" x14ac:dyDescent="0.25">
      <c r="B27" s="10"/>
      <c r="C27" s="10"/>
      <c r="D27" s="10"/>
      <c r="E27" s="10"/>
      <c r="F27" s="10">
        <v>20</v>
      </c>
      <c r="G27"/>
      <c r="H27" s="1" t="s">
        <v>20</v>
      </c>
      <c r="I27" s="1">
        <v>0.90100000000000002</v>
      </c>
      <c r="J27"/>
      <c r="K27" s="2">
        <v>4.6247700000000003E-3</v>
      </c>
      <c r="L27" s="2">
        <v>0.74329699999999999</v>
      </c>
      <c r="M27" s="3"/>
      <c r="N27" s="1" t="s">
        <v>20</v>
      </c>
      <c r="O27" s="2">
        <f t="shared" si="0"/>
        <v>17.503107658157607</v>
      </c>
      <c r="P27" s="3"/>
      <c r="Q27" s="2">
        <v>-5.9083199999999999E-3</v>
      </c>
      <c r="R27" s="2">
        <v>0.82508599999999999</v>
      </c>
      <c r="T27" s="1" t="s">
        <v>20</v>
      </c>
      <c r="U27" s="2">
        <f t="shared" si="2"/>
        <v>8.4255271920088823</v>
      </c>
    </row>
    <row r="28" spans="2:21" x14ac:dyDescent="0.25">
      <c r="B28" s="10"/>
      <c r="C28" s="10"/>
      <c r="D28" s="10"/>
      <c r="E28" s="10"/>
      <c r="F28" s="10">
        <v>21</v>
      </c>
      <c r="G28"/>
      <c r="H28" s="1" t="s">
        <v>20</v>
      </c>
      <c r="I28" s="1">
        <v>0.94799999999999995</v>
      </c>
      <c r="J28"/>
      <c r="K28" s="2">
        <v>3.21725E-2</v>
      </c>
      <c r="L28" s="2">
        <v>0.85929199999999994</v>
      </c>
      <c r="M28" s="3"/>
      <c r="N28" s="1" t="s">
        <v>20</v>
      </c>
      <c r="O28" s="2">
        <f t="shared" si="0"/>
        <v>9.3573839662447273</v>
      </c>
      <c r="P28" s="3"/>
      <c r="Q28" s="2">
        <v>3.45028E-2</v>
      </c>
      <c r="R28" s="2">
        <v>0.92201599999999995</v>
      </c>
      <c r="T28" s="1" t="s">
        <v>20</v>
      </c>
      <c r="U28" s="2">
        <f t="shared" si="2"/>
        <v>2.7409282700421951</v>
      </c>
    </row>
    <row r="29" spans="2:21" x14ac:dyDescent="0.25">
      <c r="B29" s="10"/>
      <c r="C29" s="10"/>
      <c r="D29" s="10"/>
      <c r="E29" s="10"/>
      <c r="F29" s="10">
        <v>22</v>
      </c>
      <c r="G29"/>
      <c r="H29" s="1" t="s">
        <v>20</v>
      </c>
      <c r="I29" s="1">
        <v>0.998</v>
      </c>
      <c r="J29"/>
      <c r="K29" s="2">
        <v>5.1358399999999998E-2</v>
      </c>
      <c r="L29" s="2">
        <v>0.90229800000000004</v>
      </c>
      <c r="M29" s="3"/>
      <c r="N29" s="1" t="s">
        <v>20</v>
      </c>
      <c r="O29" s="2">
        <f>100*(I29-L29)/I29</f>
        <v>9.5893787575150267</v>
      </c>
      <c r="P29" s="3"/>
      <c r="Q29" s="2">
        <v>3.4403000000000003E-2</v>
      </c>
      <c r="R29" s="2">
        <v>0.63893299999999997</v>
      </c>
      <c r="T29" s="1" t="s">
        <v>20</v>
      </c>
      <c r="U29" s="2">
        <f t="shared" si="2"/>
        <v>35.97865731462926</v>
      </c>
    </row>
    <row r="30" spans="2:21" x14ac:dyDescent="0.25">
      <c r="B30" s="10"/>
      <c r="C30" s="10"/>
      <c r="D30" s="10"/>
      <c r="E30" s="10"/>
      <c r="F30" s="10">
        <v>23</v>
      </c>
      <c r="G30"/>
      <c r="H30" s="1" t="s">
        <v>20</v>
      </c>
      <c r="I30" s="1">
        <v>1.048</v>
      </c>
      <c r="J30"/>
      <c r="K30" s="2">
        <v>4.9769099999999997E-2</v>
      </c>
      <c r="L30" s="2">
        <v>0.76818500000000001</v>
      </c>
      <c r="M30" s="3"/>
      <c r="N30" s="1" t="s">
        <v>20</v>
      </c>
      <c r="O30" s="2">
        <f t="shared" si="0"/>
        <v>26.699904580152676</v>
      </c>
      <c r="P30" s="3"/>
      <c r="Q30" s="2">
        <v>5.16239E-2</v>
      </c>
      <c r="R30" s="2">
        <v>0.74985500000000005</v>
      </c>
      <c r="T30" s="1" t="s">
        <v>20</v>
      </c>
      <c r="U30" s="2">
        <f t="shared" si="2"/>
        <v>28.448950381679388</v>
      </c>
    </row>
    <row r="31" spans="2:21" x14ac:dyDescent="0.25">
      <c r="B31" s="10"/>
      <c r="C31" s="10"/>
      <c r="D31" s="10"/>
      <c r="E31" s="10"/>
      <c r="F31" s="10">
        <v>24</v>
      </c>
      <c r="G31"/>
      <c r="H31" s="1" t="s">
        <v>20</v>
      </c>
      <c r="I31" s="1">
        <v>1.0980000000000001</v>
      </c>
      <c r="J31"/>
      <c r="K31" s="2">
        <v>5.9744100000000001E-2</v>
      </c>
      <c r="L31" s="2">
        <v>0.68445599999999995</v>
      </c>
      <c r="M31" s="3"/>
      <c r="N31" s="1" t="s">
        <v>20</v>
      </c>
      <c r="O31" s="2">
        <f t="shared" si="0"/>
        <v>37.663387978142083</v>
      </c>
      <c r="P31" s="3"/>
      <c r="Q31" s="2">
        <v>6.79173E-2</v>
      </c>
      <c r="R31" s="2">
        <v>0.81549300000000002</v>
      </c>
      <c r="T31" s="1" t="s">
        <v>20</v>
      </c>
      <c r="U31" s="2">
        <f t="shared" si="2"/>
        <v>25.729234972677599</v>
      </c>
    </row>
    <row r="32" spans="2:21" x14ac:dyDescent="0.25">
      <c r="B32" s="10"/>
      <c r="C32" s="10"/>
      <c r="D32" s="10"/>
      <c r="E32" s="10"/>
      <c r="F32" s="10">
        <v>25</v>
      </c>
      <c r="G32"/>
      <c r="H32" s="1" t="s">
        <v>20</v>
      </c>
      <c r="I32" s="1">
        <v>1.1100000000000001</v>
      </c>
      <c r="J32"/>
      <c r="K32" s="2">
        <v>6.7779599999999995E-2</v>
      </c>
      <c r="L32" s="2">
        <v>0.77090400000000003</v>
      </c>
      <c r="M32" s="3"/>
      <c r="N32" s="1" t="s">
        <v>20</v>
      </c>
      <c r="O32" s="2">
        <f t="shared" si="0"/>
        <v>30.549189189189189</v>
      </c>
      <c r="P32" s="3"/>
      <c r="Q32" s="2">
        <v>7.2323100000000001E-2</v>
      </c>
      <c r="R32" s="2">
        <v>0.66434599999999999</v>
      </c>
      <c r="T32" s="1" t="s">
        <v>20</v>
      </c>
      <c r="U32" s="2">
        <f t="shared" si="2"/>
        <v>40.149009009009013</v>
      </c>
    </row>
    <row r="33" spans="2:21" x14ac:dyDescent="0.25">
      <c r="B33" s="10"/>
      <c r="C33" s="10"/>
      <c r="D33" s="10"/>
      <c r="E33" s="10"/>
      <c r="F33" s="10">
        <v>26</v>
      </c>
      <c r="G33"/>
      <c r="H33" s="1" t="s">
        <v>20</v>
      </c>
      <c r="I33" s="1">
        <v>1.1100000000000001</v>
      </c>
      <c r="J33"/>
      <c r="K33" s="2">
        <v>6.9847000000000006E-2</v>
      </c>
      <c r="L33" s="2">
        <v>0.759135</v>
      </c>
      <c r="M33" s="3"/>
      <c r="N33" s="1" t="s">
        <v>20</v>
      </c>
      <c r="O33" s="2">
        <f t="shared" si="0"/>
        <v>31.609459459459465</v>
      </c>
      <c r="P33" s="3"/>
      <c r="Q33" s="2">
        <v>7.2484499999999993E-2</v>
      </c>
      <c r="R33" s="2">
        <v>0.76215999999999995</v>
      </c>
      <c r="T33" s="1" t="s">
        <v>20</v>
      </c>
      <c r="U33" s="2">
        <f t="shared" si="2"/>
        <v>31.336936936936947</v>
      </c>
    </row>
    <row r="34" spans="2:21" x14ac:dyDescent="0.25">
      <c r="B34" s="10"/>
      <c r="C34" s="10"/>
      <c r="D34" s="10"/>
      <c r="E34" s="10"/>
      <c r="F34" s="10">
        <v>27</v>
      </c>
      <c r="G34"/>
      <c r="H34" s="1" t="s">
        <v>20</v>
      </c>
      <c r="I34" s="1">
        <v>1.1100000000000001</v>
      </c>
      <c r="J34"/>
      <c r="K34" s="2">
        <v>6.7871100000000004E-2</v>
      </c>
      <c r="L34" s="2">
        <v>0.67895700000000003</v>
      </c>
      <c r="M34" s="3"/>
      <c r="N34" s="1" t="s">
        <v>20</v>
      </c>
      <c r="O34" s="2">
        <f t="shared" si="0"/>
        <v>38.832702702702704</v>
      </c>
      <c r="P34" s="3"/>
      <c r="Q34" s="2">
        <v>6.9220900000000002E-2</v>
      </c>
      <c r="R34" s="2">
        <v>0.72544399999999998</v>
      </c>
      <c r="T34" s="1" t="s">
        <v>20</v>
      </c>
      <c r="U34" s="2">
        <f t="shared" si="2"/>
        <v>34.644684684684691</v>
      </c>
    </row>
    <row r="35" spans="2:21" x14ac:dyDescent="0.25">
      <c r="B35" s="10"/>
      <c r="C35" s="10"/>
      <c r="D35" s="10"/>
      <c r="E35" s="10"/>
      <c r="F35" s="10">
        <v>28</v>
      </c>
      <c r="G35"/>
      <c r="H35" s="1" t="s">
        <v>20</v>
      </c>
      <c r="I35" s="1">
        <v>1.1100000000000001</v>
      </c>
      <c r="J35"/>
      <c r="K35" s="2">
        <v>6.7956500000000003E-2</v>
      </c>
      <c r="L35" s="2">
        <v>0.72691300000000003</v>
      </c>
      <c r="M35" s="3"/>
      <c r="N35" s="1" t="s">
        <v>20</v>
      </c>
      <c r="O35" s="2">
        <f t="shared" si="0"/>
        <v>34.51234234234235</v>
      </c>
      <c r="P35" s="3"/>
      <c r="Q35" s="2">
        <v>7.1937399999999999E-2</v>
      </c>
      <c r="R35" s="2">
        <v>0.76744299999999999</v>
      </c>
      <c r="T35" s="1" t="s">
        <v>20</v>
      </c>
      <c r="U35" s="2">
        <f t="shared" si="2"/>
        <v>30.860990990990999</v>
      </c>
    </row>
    <row r="36" spans="2:21" x14ac:dyDescent="0.25">
      <c r="B36" s="10"/>
      <c r="C36" s="10"/>
      <c r="D36" s="10"/>
      <c r="E36" s="10"/>
      <c r="F36" s="10">
        <v>29</v>
      </c>
      <c r="G36"/>
      <c r="H36" s="1" t="s">
        <v>20</v>
      </c>
      <c r="I36" s="1">
        <v>1.1100000000000001</v>
      </c>
      <c r="J36"/>
      <c r="K36" s="2">
        <v>6.4601699999999998E-2</v>
      </c>
      <c r="L36" s="2">
        <v>0.75147900000000001</v>
      </c>
      <c r="M36" s="3"/>
      <c r="N36" s="1" t="s">
        <v>20</v>
      </c>
      <c r="O36" s="2">
        <f t="shared" si="0"/>
        <v>32.299189189189192</v>
      </c>
      <c r="P36" s="3"/>
      <c r="Q36" s="2">
        <v>7.0796399999999995E-2</v>
      </c>
      <c r="R36" s="2">
        <v>0.76974600000000004</v>
      </c>
      <c r="T36" s="1" t="s">
        <v>20</v>
      </c>
      <c r="U36" s="2">
        <f t="shared" si="2"/>
        <v>30.653513513513516</v>
      </c>
    </row>
  </sheetData>
  <conditionalFormatting sqref="O7:O36">
    <cfRule type="colorScale" priority="3">
      <colorScale>
        <cfvo type="num" val="-70"/>
        <cfvo type="percentile" val="50"/>
        <cfvo type="num" val="70"/>
        <color rgb="FFF8696B"/>
        <color rgb="FFFCFCFF"/>
        <color rgb="FF63BE7B"/>
      </colorScale>
    </cfRule>
  </conditionalFormatting>
  <conditionalFormatting sqref="U7:U36">
    <cfRule type="colorScale" priority="1">
      <colorScale>
        <cfvo type="num" val="-70"/>
        <cfvo type="percentile" val="50"/>
        <cfvo type="num" val="70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7"/>
  <sheetViews>
    <sheetView tabSelected="1" workbookViewId="0">
      <selection activeCell="J14" sqref="J14"/>
    </sheetView>
  </sheetViews>
  <sheetFormatPr defaultRowHeight="15" x14ac:dyDescent="0.25"/>
  <cols>
    <col min="1" max="1" width="9.140625" customWidth="1"/>
    <col min="2" max="3" width="9.140625" style="2"/>
    <col min="4" max="4" width="9.140625" style="3"/>
    <col min="5" max="6" width="9.140625" style="2"/>
    <col min="7" max="7" width="9.140625" style="3"/>
    <col min="8" max="9" width="9.140625" style="2"/>
    <col min="10" max="10" width="9.140625" style="3"/>
    <col min="11" max="12" width="9.140625" style="15"/>
    <col min="14" max="15" width="9.140625" style="2"/>
  </cols>
  <sheetData>
    <row r="2" spans="2:15" x14ac:dyDescent="0.25">
      <c r="B2" s="4" t="s">
        <v>23</v>
      </c>
    </row>
    <row r="5" spans="2:15" x14ac:dyDescent="0.25">
      <c r="B5" s="43" t="s">
        <v>17</v>
      </c>
      <c r="C5" s="19"/>
      <c r="E5" s="43" t="s">
        <v>24</v>
      </c>
      <c r="F5" s="18"/>
      <c r="G5" s="20"/>
      <c r="H5" s="17" t="s">
        <v>24</v>
      </c>
      <c r="I5" s="19"/>
      <c r="K5" s="21"/>
      <c r="L5" s="22"/>
      <c r="M5" s="23"/>
      <c r="N5" s="18"/>
      <c r="O5" s="19"/>
    </row>
    <row r="6" spans="2:15" s="6" customFormat="1" x14ac:dyDescent="0.25">
      <c r="B6" s="44"/>
      <c r="C6" s="46"/>
      <c r="E6" s="47" t="s">
        <v>25</v>
      </c>
      <c r="F6" s="45"/>
      <c r="G6" s="24"/>
      <c r="H6" s="42" t="s">
        <v>26</v>
      </c>
      <c r="I6" s="46"/>
      <c r="J6" s="5"/>
      <c r="K6" s="47" t="s">
        <v>27</v>
      </c>
      <c r="L6" s="45"/>
      <c r="M6" s="25"/>
      <c r="N6" s="41" t="s">
        <v>28</v>
      </c>
      <c r="O6" s="46"/>
    </row>
    <row r="7" spans="2:15" s="6" customFormat="1" x14ac:dyDescent="0.25">
      <c r="B7" s="26" t="s">
        <v>1</v>
      </c>
      <c r="C7" s="27" t="s">
        <v>2</v>
      </c>
      <c r="E7" s="26" t="s">
        <v>1</v>
      </c>
      <c r="F7" s="7" t="s">
        <v>2</v>
      </c>
      <c r="G7" s="24"/>
      <c r="H7" s="7" t="s">
        <v>1</v>
      </c>
      <c r="I7" s="27" t="s">
        <v>2</v>
      </c>
      <c r="J7" s="5"/>
      <c r="K7" s="26" t="s">
        <v>29</v>
      </c>
      <c r="L7" s="7" t="s">
        <v>30</v>
      </c>
      <c r="M7" s="25"/>
      <c r="N7" s="8" t="s">
        <v>1</v>
      </c>
      <c r="O7" s="50" t="s">
        <v>2</v>
      </c>
    </row>
    <row r="8" spans="2:15" x14ac:dyDescent="0.25">
      <c r="B8" s="28">
        <v>0</v>
      </c>
      <c r="C8" s="29">
        <v>0</v>
      </c>
      <c r="D8"/>
      <c r="E8" s="16">
        <v>0</v>
      </c>
      <c r="F8" s="19">
        <v>0</v>
      </c>
      <c r="G8" s="32"/>
      <c r="H8" s="16">
        <v>0</v>
      </c>
      <c r="I8" s="19">
        <v>0</v>
      </c>
      <c r="K8" s="30">
        <f t="shared" ref="K8:K37" si="0">E8-H8</f>
        <v>0</v>
      </c>
      <c r="L8" s="31">
        <f t="shared" ref="L8:L37" si="1">F8-I8</f>
        <v>0</v>
      </c>
      <c r="M8" s="33"/>
      <c r="N8" s="34">
        <v>0</v>
      </c>
      <c r="O8" s="51">
        <v>0</v>
      </c>
    </row>
    <row r="9" spans="2:15" x14ac:dyDescent="0.25">
      <c r="B9" s="28">
        <v>0</v>
      </c>
      <c r="C9" s="29">
        <v>0</v>
      </c>
      <c r="D9"/>
      <c r="E9" s="30">
        <v>2.0021499999999999E-12</v>
      </c>
      <c r="F9" s="48">
        <v>3.7304600000000002E-11</v>
      </c>
      <c r="G9" s="32"/>
      <c r="H9" s="30">
        <v>2.0021499999999999E-12</v>
      </c>
      <c r="I9" s="48">
        <v>3.7304600000000002E-11</v>
      </c>
      <c r="K9" s="30">
        <f t="shared" si="0"/>
        <v>0</v>
      </c>
      <c r="L9" s="31">
        <f t="shared" si="1"/>
        <v>0</v>
      </c>
      <c r="M9" s="33"/>
      <c r="N9" s="31">
        <f t="shared" ref="N9:N37" si="2">100*K9/E9</f>
        <v>0</v>
      </c>
      <c r="O9" s="48">
        <f t="shared" ref="O9:O37" si="3">100*L9/F9</f>
        <v>0</v>
      </c>
    </row>
    <row r="10" spans="2:15" x14ac:dyDescent="0.25">
      <c r="B10" s="28">
        <v>0</v>
      </c>
      <c r="C10" s="29">
        <v>1E-3</v>
      </c>
      <c r="D10"/>
      <c r="E10" s="30">
        <v>1.2138000000000001E-4</v>
      </c>
      <c r="F10" s="48">
        <v>2.9246300000000002E-4</v>
      </c>
      <c r="G10" s="32"/>
      <c r="H10" s="30">
        <v>1.2138000000000001E-4</v>
      </c>
      <c r="I10" s="48">
        <v>3.0785300000000002E-4</v>
      </c>
      <c r="K10" s="30">
        <f t="shared" si="0"/>
        <v>0</v>
      </c>
      <c r="L10" s="31">
        <f t="shared" si="1"/>
        <v>-1.539E-5</v>
      </c>
      <c r="M10" s="33"/>
      <c r="N10" s="31">
        <f t="shared" si="2"/>
        <v>0</v>
      </c>
      <c r="O10" s="48">
        <f t="shared" si="3"/>
        <v>-5.2622041078700548</v>
      </c>
    </row>
    <row r="11" spans="2:15" x14ac:dyDescent="0.25">
      <c r="B11" s="28">
        <v>0</v>
      </c>
      <c r="C11" s="29">
        <v>4.7E-2</v>
      </c>
      <c r="D11"/>
      <c r="E11" s="30">
        <v>5.7808099999999999E-3</v>
      </c>
      <c r="F11" s="48">
        <v>4.75656E-2</v>
      </c>
      <c r="G11" s="32"/>
      <c r="H11" s="30">
        <v>5.7808099999999999E-3</v>
      </c>
      <c r="I11" s="48">
        <v>4.8220100000000002E-2</v>
      </c>
      <c r="K11" s="30">
        <f t="shared" si="0"/>
        <v>0</v>
      </c>
      <c r="L11" s="31">
        <f t="shared" si="1"/>
        <v>-6.545000000000023E-4</v>
      </c>
      <c r="M11" s="33"/>
      <c r="N11" s="31">
        <f t="shared" si="2"/>
        <v>0</v>
      </c>
      <c r="O11" s="48">
        <f t="shared" si="3"/>
        <v>-1.3759944161326723</v>
      </c>
    </row>
    <row r="12" spans="2:15" x14ac:dyDescent="0.25">
      <c r="B12" s="28">
        <v>0</v>
      </c>
      <c r="C12" s="29">
        <v>9.7000000000000003E-2</v>
      </c>
      <c r="D12"/>
      <c r="E12" s="30">
        <v>3.1901199999999997E-4</v>
      </c>
      <c r="F12" s="48">
        <v>9.8996700000000007E-2</v>
      </c>
      <c r="G12" s="32"/>
      <c r="H12" s="30">
        <v>3.1901199999999997E-4</v>
      </c>
      <c r="I12" s="48">
        <v>0.10000299999999999</v>
      </c>
      <c r="K12" s="30">
        <f t="shared" si="0"/>
        <v>0</v>
      </c>
      <c r="L12" s="31">
        <f t="shared" si="1"/>
        <v>-1.0062999999999878E-3</v>
      </c>
      <c r="M12" s="33"/>
      <c r="N12" s="31">
        <f t="shared" si="2"/>
        <v>0</v>
      </c>
      <c r="O12" s="48">
        <f t="shared" si="3"/>
        <v>-1.016498529748959</v>
      </c>
    </row>
    <row r="13" spans="2:15" x14ac:dyDescent="0.25">
      <c r="B13" s="28">
        <v>0</v>
      </c>
      <c r="C13" s="29">
        <v>0.14699999999999999</v>
      </c>
      <c r="D13"/>
      <c r="E13" s="30">
        <v>1.72461E-2</v>
      </c>
      <c r="F13" s="48">
        <v>0.15845699999999999</v>
      </c>
      <c r="G13" s="32"/>
      <c r="H13" s="30">
        <v>1.72461E-2</v>
      </c>
      <c r="I13" s="48">
        <v>0.15948999999999999</v>
      </c>
      <c r="K13" s="30">
        <f t="shared" si="0"/>
        <v>0</v>
      </c>
      <c r="L13" s="31">
        <f t="shared" si="1"/>
        <v>-1.0330000000000061E-3</v>
      </c>
      <c r="M13" s="33"/>
      <c r="N13" s="31">
        <f t="shared" si="2"/>
        <v>0</v>
      </c>
      <c r="O13" s="48">
        <f t="shared" si="3"/>
        <v>-0.65191187514594262</v>
      </c>
    </row>
    <row r="14" spans="2:15" x14ac:dyDescent="0.25">
      <c r="B14" s="28">
        <v>0</v>
      </c>
      <c r="C14" s="29">
        <v>0.19700000000000001</v>
      </c>
      <c r="D14"/>
      <c r="E14" s="30">
        <v>6.4386699999999996E-3</v>
      </c>
      <c r="F14" s="48">
        <v>0.194887</v>
      </c>
      <c r="G14" s="32"/>
      <c r="H14" s="30">
        <v>6.4386699999999996E-3</v>
      </c>
      <c r="I14" s="48">
        <v>0.19633300000000001</v>
      </c>
      <c r="K14" s="30">
        <f t="shared" si="0"/>
        <v>0</v>
      </c>
      <c r="L14" s="31">
        <f t="shared" si="1"/>
        <v>-1.4460000000000028E-3</v>
      </c>
      <c r="M14" s="33"/>
      <c r="N14" s="31">
        <f t="shared" si="2"/>
        <v>0</v>
      </c>
      <c r="O14" s="48">
        <f t="shared" si="3"/>
        <v>-0.74196842272701757</v>
      </c>
    </row>
    <row r="15" spans="2:15" x14ac:dyDescent="0.25">
      <c r="B15" s="28">
        <v>0</v>
      </c>
      <c r="C15" s="29">
        <v>0.247</v>
      </c>
      <c r="D15"/>
      <c r="E15" s="30">
        <v>8.9220900000000006E-3</v>
      </c>
      <c r="F15" s="48">
        <v>0.25878200000000001</v>
      </c>
      <c r="G15" s="32"/>
      <c r="H15" s="30">
        <v>8.9220900000000006E-3</v>
      </c>
      <c r="I15" s="48">
        <v>0.25976500000000002</v>
      </c>
      <c r="K15" s="30">
        <f t="shared" si="0"/>
        <v>0</v>
      </c>
      <c r="L15" s="31">
        <f t="shared" si="1"/>
        <v>-9.8300000000001164E-4</v>
      </c>
      <c r="M15" s="33"/>
      <c r="N15" s="31">
        <f t="shared" si="2"/>
        <v>0</v>
      </c>
      <c r="O15" s="48">
        <f t="shared" si="3"/>
        <v>-0.37985640423213807</v>
      </c>
    </row>
    <row r="16" spans="2:15" x14ac:dyDescent="0.25">
      <c r="B16" s="28">
        <v>0</v>
      </c>
      <c r="C16" s="29">
        <v>0.29699999999999999</v>
      </c>
      <c r="D16"/>
      <c r="E16" s="30">
        <v>8.7714999999999998E-3</v>
      </c>
      <c r="F16" s="48">
        <v>0.29899999999999999</v>
      </c>
      <c r="G16" s="32"/>
      <c r="H16" s="30">
        <v>8.7714999999999998E-3</v>
      </c>
      <c r="I16" s="48">
        <v>0.29966599999999999</v>
      </c>
      <c r="K16" s="30">
        <f t="shared" si="0"/>
        <v>0</v>
      </c>
      <c r="L16" s="31">
        <f t="shared" si="1"/>
        <v>-6.6599999999999993E-4</v>
      </c>
      <c r="M16" s="33"/>
      <c r="N16" s="31">
        <f t="shared" si="2"/>
        <v>0</v>
      </c>
      <c r="O16" s="48">
        <f t="shared" si="3"/>
        <v>-0.22274247491638793</v>
      </c>
    </row>
    <row r="17" spans="2:15" x14ac:dyDescent="0.25">
      <c r="B17" s="28">
        <v>0</v>
      </c>
      <c r="C17" s="29">
        <v>0.34699999999999998</v>
      </c>
      <c r="D17"/>
      <c r="E17" s="30">
        <v>2.03348E-2</v>
      </c>
      <c r="F17" s="48">
        <v>0.35475800000000002</v>
      </c>
      <c r="G17" s="32"/>
      <c r="H17" s="30">
        <v>2.03348E-2</v>
      </c>
      <c r="I17" s="48">
        <v>0.35582900000000001</v>
      </c>
      <c r="K17" s="30">
        <f t="shared" si="0"/>
        <v>0</v>
      </c>
      <c r="L17" s="31">
        <f t="shared" si="1"/>
        <v>-1.0709999999999886E-3</v>
      </c>
      <c r="M17" s="33"/>
      <c r="N17" s="31">
        <f t="shared" si="2"/>
        <v>0</v>
      </c>
      <c r="O17" s="48">
        <f t="shared" si="3"/>
        <v>-0.30189594033115208</v>
      </c>
    </row>
    <row r="18" spans="2:15" x14ac:dyDescent="0.25">
      <c r="B18" s="28">
        <v>0</v>
      </c>
      <c r="C18" s="29">
        <v>0.39700000000000002</v>
      </c>
      <c r="D18"/>
      <c r="E18" s="30">
        <v>2.6831899999999999E-2</v>
      </c>
      <c r="F18" s="48">
        <v>0.45249200000000001</v>
      </c>
      <c r="G18" s="32"/>
      <c r="H18" s="30">
        <v>2.6831899999999999E-2</v>
      </c>
      <c r="I18" s="48">
        <v>0.45343600000000001</v>
      </c>
      <c r="K18" s="30">
        <f t="shared" si="0"/>
        <v>0</v>
      </c>
      <c r="L18" s="31">
        <f t="shared" si="1"/>
        <v>-9.4400000000000039E-4</v>
      </c>
      <c r="M18" s="33"/>
      <c r="N18" s="31">
        <f t="shared" si="2"/>
        <v>0</v>
      </c>
      <c r="O18" s="48">
        <f t="shared" si="3"/>
        <v>-0.20862247288349858</v>
      </c>
    </row>
    <row r="19" spans="2:15" x14ac:dyDescent="0.25">
      <c r="B19" s="28">
        <v>0</v>
      </c>
      <c r="C19" s="29">
        <v>0.44700000000000001</v>
      </c>
      <c r="D19"/>
      <c r="E19" s="30">
        <v>3.0778300000000001E-2</v>
      </c>
      <c r="F19" s="48">
        <v>0.47109600000000001</v>
      </c>
      <c r="G19" s="32"/>
      <c r="H19" s="30">
        <v>3.0778300000000001E-2</v>
      </c>
      <c r="I19" s="48">
        <v>0.47192600000000001</v>
      </c>
      <c r="K19" s="30">
        <f t="shared" si="0"/>
        <v>0</v>
      </c>
      <c r="L19" s="31">
        <f t="shared" si="1"/>
        <v>-8.2999999999999741E-4</v>
      </c>
      <c r="M19" s="33"/>
      <c r="N19" s="31">
        <f t="shared" si="2"/>
        <v>0</v>
      </c>
      <c r="O19" s="48">
        <f t="shared" si="3"/>
        <v>-0.17618489649667954</v>
      </c>
    </row>
    <row r="20" spans="2:15" x14ac:dyDescent="0.25">
      <c r="B20" s="28">
        <v>0</v>
      </c>
      <c r="C20" s="29">
        <v>0.497</v>
      </c>
      <c r="D20"/>
      <c r="E20" s="30">
        <v>4.0430000000000001E-2</v>
      </c>
      <c r="F20" s="48">
        <v>0.55117700000000003</v>
      </c>
      <c r="G20" s="32"/>
      <c r="H20" s="30">
        <v>4.0430000000000001E-2</v>
      </c>
      <c r="I20" s="48">
        <v>0.55212300000000003</v>
      </c>
      <c r="K20" s="30">
        <f t="shared" si="0"/>
        <v>0</v>
      </c>
      <c r="L20" s="31">
        <f t="shared" si="1"/>
        <v>-9.4600000000000239E-4</v>
      </c>
      <c r="M20" s="33"/>
      <c r="N20" s="31">
        <f t="shared" si="2"/>
        <v>0</v>
      </c>
      <c r="O20" s="48">
        <f t="shared" si="3"/>
        <v>-0.17163270600914088</v>
      </c>
    </row>
    <row r="21" spans="2:15" x14ac:dyDescent="0.25">
      <c r="B21" s="28">
        <v>0</v>
      </c>
      <c r="C21" s="29">
        <v>0.54700000000000004</v>
      </c>
      <c r="D21"/>
      <c r="E21" s="30">
        <v>6.4198400000000003E-2</v>
      </c>
      <c r="F21" s="48">
        <v>0.60543199999999997</v>
      </c>
      <c r="G21" s="32"/>
      <c r="H21" s="30">
        <v>6.4198400000000003E-2</v>
      </c>
      <c r="I21" s="48">
        <v>0.60636800000000002</v>
      </c>
      <c r="K21" s="30">
        <f t="shared" si="0"/>
        <v>0</v>
      </c>
      <c r="L21" s="31">
        <f t="shared" si="1"/>
        <v>-9.360000000000479E-4</v>
      </c>
      <c r="M21" s="33"/>
      <c r="N21" s="31">
        <f t="shared" si="2"/>
        <v>0</v>
      </c>
      <c r="O21" s="48">
        <f t="shared" si="3"/>
        <v>-0.15460035148456772</v>
      </c>
    </row>
    <row r="22" spans="2:15" x14ac:dyDescent="0.25">
      <c r="B22" s="28">
        <v>0</v>
      </c>
      <c r="C22" s="29">
        <v>0.59699999999999998</v>
      </c>
      <c r="D22"/>
      <c r="E22" s="30">
        <v>5.7146000000000002E-2</v>
      </c>
      <c r="F22" s="48">
        <v>0.655497</v>
      </c>
      <c r="G22" s="32"/>
      <c r="H22" s="30">
        <v>5.7146000000000002E-2</v>
      </c>
      <c r="I22" s="48">
        <v>0.65644100000000005</v>
      </c>
      <c r="K22" s="30">
        <f t="shared" si="0"/>
        <v>0</v>
      </c>
      <c r="L22" s="31">
        <f t="shared" si="1"/>
        <v>-9.4400000000005591E-4</v>
      </c>
      <c r="M22" s="33"/>
      <c r="N22" s="31">
        <f t="shared" si="2"/>
        <v>0</v>
      </c>
      <c r="O22" s="48">
        <f t="shared" si="3"/>
        <v>-0.14401286352188583</v>
      </c>
    </row>
    <row r="23" spans="2:15" x14ac:dyDescent="0.25">
      <c r="B23" s="28">
        <v>0</v>
      </c>
      <c r="C23" s="29">
        <v>0.64700000000000002</v>
      </c>
      <c r="D23"/>
      <c r="E23" s="30">
        <v>7.5077599999999994E-2</v>
      </c>
      <c r="F23" s="48">
        <v>0.71313000000000004</v>
      </c>
      <c r="G23" s="32"/>
      <c r="H23" s="30">
        <v>7.5077599999999994E-2</v>
      </c>
      <c r="I23" s="48">
        <v>0.71424900000000002</v>
      </c>
      <c r="K23" s="30">
        <f t="shared" si="0"/>
        <v>0</v>
      </c>
      <c r="L23" s="31">
        <f t="shared" si="1"/>
        <v>-1.1189999999999811E-3</v>
      </c>
      <c r="M23" s="33"/>
      <c r="N23" s="31">
        <f t="shared" si="2"/>
        <v>0</v>
      </c>
      <c r="O23" s="48">
        <f t="shared" si="3"/>
        <v>-0.15691388666862718</v>
      </c>
    </row>
    <row r="24" spans="2:15" x14ac:dyDescent="0.25">
      <c r="B24" s="28">
        <v>0</v>
      </c>
      <c r="C24" s="29">
        <v>0.69699999999999995</v>
      </c>
      <c r="D24"/>
      <c r="E24" s="30">
        <v>7.86578E-2</v>
      </c>
      <c r="F24" s="48">
        <v>0.76763199999999998</v>
      </c>
      <c r="G24" s="32"/>
      <c r="H24" s="30">
        <v>7.86578E-2</v>
      </c>
      <c r="I24" s="48">
        <v>0.76863499999999996</v>
      </c>
      <c r="K24" s="30">
        <f t="shared" si="0"/>
        <v>0</v>
      </c>
      <c r="L24" s="31">
        <f t="shared" si="1"/>
        <v>-1.0029999999999761E-3</v>
      </c>
      <c r="M24" s="33"/>
      <c r="N24" s="31">
        <f t="shared" si="2"/>
        <v>0</v>
      </c>
      <c r="O24" s="48">
        <f t="shared" si="3"/>
        <v>-0.13066156700085146</v>
      </c>
    </row>
    <row r="25" spans="2:15" x14ac:dyDescent="0.25">
      <c r="B25" s="28">
        <v>0</v>
      </c>
      <c r="C25" s="29">
        <v>0.749</v>
      </c>
      <c r="D25"/>
      <c r="E25" s="30">
        <v>5.9822800000000002E-2</v>
      </c>
      <c r="F25" s="48">
        <v>0.83967800000000004</v>
      </c>
      <c r="G25" s="32"/>
      <c r="H25" s="30">
        <v>5.9822800000000002E-2</v>
      </c>
      <c r="I25" s="48">
        <v>0.84114299999999997</v>
      </c>
      <c r="K25" s="30">
        <f t="shared" si="0"/>
        <v>0</v>
      </c>
      <c r="L25" s="31">
        <f t="shared" si="1"/>
        <v>-1.4649999999999386E-3</v>
      </c>
      <c r="M25" s="33"/>
      <c r="N25" s="31">
        <f t="shared" si="2"/>
        <v>0</v>
      </c>
      <c r="O25" s="48">
        <f t="shared" si="3"/>
        <v>-0.17447164270112334</v>
      </c>
    </row>
    <row r="26" spans="2:15" x14ac:dyDescent="0.25">
      <c r="B26" s="28">
        <v>0</v>
      </c>
      <c r="C26" s="29">
        <v>0.79900000000000004</v>
      </c>
      <c r="D26"/>
      <c r="E26" s="30">
        <v>3.6829399999999998E-2</v>
      </c>
      <c r="F26" s="48">
        <v>0.84178600000000003</v>
      </c>
      <c r="G26" s="32"/>
      <c r="H26" s="30">
        <v>3.6829399999999998E-2</v>
      </c>
      <c r="I26" s="48">
        <v>0.84268799999999999</v>
      </c>
      <c r="K26" s="30">
        <f t="shared" si="0"/>
        <v>0</v>
      </c>
      <c r="L26" s="31">
        <f t="shared" si="1"/>
        <v>-9.0199999999995839E-4</v>
      </c>
      <c r="M26" s="33"/>
      <c r="N26" s="31">
        <f t="shared" si="2"/>
        <v>0</v>
      </c>
      <c r="O26" s="48">
        <f t="shared" si="3"/>
        <v>-0.10715312442829393</v>
      </c>
    </row>
    <row r="27" spans="2:15" x14ac:dyDescent="0.25">
      <c r="B27" s="28">
        <v>0</v>
      </c>
      <c r="C27" s="29">
        <v>0.84599999999999997</v>
      </c>
      <c r="D27"/>
      <c r="E27" s="30">
        <v>1.5993799999999999E-2</v>
      </c>
      <c r="F27" s="48">
        <v>0.71401400000000004</v>
      </c>
      <c r="G27" s="32"/>
      <c r="H27" s="30">
        <v>1.5993799999999999E-2</v>
      </c>
      <c r="I27" s="48">
        <v>0.71471899999999999</v>
      </c>
      <c r="K27" s="30">
        <f t="shared" si="0"/>
        <v>0</v>
      </c>
      <c r="L27" s="31">
        <f t="shared" si="1"/>
        <v>-7.0499999999995566E-4</v>
      </c>
      <c r="M27" s="33"/>
      <c r="N27" s="31">
        <f t="shared" si="2"/>
        <v>0</v>
      </c>
      <c r="O27" s="48">
        <f t="shared" si="3"/>
        <v>-9.8737559767729438E-2</v>
      </c>
    </row>
    <row r="28" spans="2:15" x14ac:dyDescent="0.25">
      <c r="B28" s="28">
        <v>0</v>
      </c>
      <c r="C28" s="29">
        <v>0.90100000000000002</v>
      </c>
      <c r="D28"/>
      <c r="E28" s="30">
        <v>4.6247700000000003E-3</v>
      </c>
      <c r="F28" s="48">
        <v>0.74246199999999996</v>
      </c>
      <c r="G28" s="32"/>
      <c r="H28" s="30">
        <v>4.6247700000000003E-3</v>
      </c>
      <c r="I28" s="48">
        <v>0.74329699999999999</v>
      </c>
      <c r="K28" s="30">
        <f t="shared" si="0"/>
        <v>0</v>
      </c>
      <c r="L28" s="31">
        <f t="shared" si="1"/>
        <v>-8.3500000000003016E-4</v>
      </c>
      <c r="M28" s="33"/>
      <c r="N28" s="31">
        <f t="shared" si="2"/>
        <v>0</v>
      </c>
      <c r="O28" s="48">
        <f t="shared" si="3"/>
        <v>-0.11246366817426753</v>
      </c>
    </row>
    <row r="29" spans="2:15" x14ac:dyDescent="0.25">
      <c r="B29" s="28">
        <v>0</v>
      </c>
      <c r="C29" s="29">
        <v>0.94799999999999995</v>
      </c>
      <c r="D29"/>
      <c r="E29" s="30">
        <v>3.21725E-2</v>
      </c>
      <c r="F29" s="48">
        <v>0.85830899999999999</v>
      </c>
      <c r="G29" s="32"/>
      <c r="H29" s="30">
        <v>3.21725E-2</v>
      </c>
      <c r="I29" s="48">
        <v>0.85929199999999994</v>
      </c>
      <c r="K29" s="30">
        <f t="shared" si="0"/>
        <v>0</v>
      </c>
      <c r="L29" s="31">
        <f t="shared" si="1"/>
        <v>-9.8299999999995613E-4</v>
      </c>
      <c r="M29" s="33"/>
      <c r="N29" s="31">
        <f t="shared" si="2"/>
        <v>0</v>
      </c>
      <c r="O29" s="48">
        <f t="shared" si="3"/>
        <v>-0.11452751864421276</v>
      </c>
    </row>
    <row r="30" spans="2:15" x14ac:dyDescent="0.25">
      <c r="B30" s="28">
        <v>0</v>
      </c>
      <c r="C30" s="29">
        <v>0.998</v>
      </c>
      <c r="D30"/>
      <c r="E30" s="30">
        <v>5.1358399999999998E-2</v>
      </c>
      <c r="F30" s="48">
        <v>0.90127000000000002</v>
      </c>
      <c r="G30" s="32"/>
      <c r="H30" s="30">
        <v>5.1358399999999998E-2</v>
      </c>
      <c r="I30" s="48">
        <v>0.90229800000000004</v>
      </c>
      <c r="K30" s="30">
        <f t="shared" si="0"/>
        <v>0</v>
      </c>
      <c r="L30" s="31">
        <f t="shared" si="1"/>
        <v>-1.0280000000000289E-3</v>
      </c>
      <c r="M30" s="33"/>
      <c r="N30" s="31">
        <f t="shared" si="2"/>
        <v>0</v>
      </c>
      <c r="O30" s="48">
        <f t="shared" si="3"/>
        <v>-0.11406126909805374</v>
      </c>
    </row>
    <row r="31" spans="2:15" x14ac:dyDescent="0.25">
      <c r="B31" s="28">
        <v>0</v>
      </c>
      <c r="C31" s="29">
        <v>1.048</v>
      </c>
      <c r="D31"/>
      <c r="E31" s="30">
        <v>4.9769099999999997E-2</v>
      </c>
      <c r="F31" s="48">
        <v>0.76725399999999999</v>
      </c>
      <c r="G31" s="32"/>
      <c r="H31" s="30">
        <v>4.9769099999999997E-2</v>
      </c>
      <c r="I31" s="48">
        <v>0.76818500000000001</v>
      </c>
      <c r="K31" s="30">
        <f t="shared" si="0"/>
        <v>0</v>
      </c>
      <c r="L31" s="31">
        <f t="shared" si="1"/>
        <v>-9.3100000000001515E-4</v>
      </c>
      <c r="M31" s="33"/>
      <c r="N31" s="31">
        <f t="shared" si="2"/>
        <v>0</v>
      </c>
      <c r="O31" s="48">
        <f t="shared" si="3"/>
        <v>-0.12134182421988222</v>
      </c>
    </row>
    <row r="32" spans="2:15" x14ac:dyDescent="0.25">
      <c r="B32" s="28">
        <v>0</v>
      </c>
      <c r="C32" s="29">
        <v>1.0980000000000001</v>
      </c>
      <c r="D32"/>
      <c r="E32" s="30">
        <v>5.9744100000000001E-2</v>
      </c>
      <c r="F32" s="48">
        <v>0.68374400000000002</v>
      </c>
      <c r="G32" s="32"/>
      <c r="H32" s="30">
        <v>5.9744100000000001E-2</v>
      </c>
      <c r="I32" s="48">
        <v>0.68445599999999995</v>
      </c>
      <c r="K32" s="30">
        <f t="shared" si="0"/>
        <v>0</v>
      </c>
      <c r="L32" s="31">
        <f t="shared" si="1"/>
        <v>-7.1199999999993491E-4</v>
      </c>
      <c r="M32" s="33"/>
      <c r="N32" s="31">
        <f t="shared" si="2"/>
        <v>0</v>
      </c>
      <c r="O32" s="48">
        <f t="shared" si="3"/>
        <v>-0.10413254083398682</v>
      </c>
    </row>
    <row r="33" spans="2:15" x14ac:dyDescent="0.25">
      <c r="B33" s="28">
        <v>0</v>
      </c>
      <c r="C33" s="29">
        <v>1.1100000000000001</v>
      </c>
      <c r="D33"/>
      <c r="E33" s="30">
        <v>6.7779599999999995E-2</v>
      </c>
      <c r="F33" s="48">
        <v>0.77042500000000003</v>
      </c>
      <c r="G33" s="32"/>
      <c r="H33" s="30">
        <v>6.7779599999999995E-2</v>
      </c>
      <c r="I33" s="48">
        <v>0.77090400000000003</v>
      </c>
      <c r="K33" s="30">
        <f t="shared" si="0"/>
        <v>0</v>
      </c>
      <c r="L33" s="31">
        <f t="shared" si="1"/>
        <v>-4.790000000000072E-4</v>
      </c>
      <c r="M33" s="33"/>
      <c r="N33" s="31">
        <f t="shared" si="2"/>
        <v>0</v>
      </c>
      <c r="O33" s="48">
        <f t="shared" si="3"/>
        <v>-6.2173475679009271E-2</v>
      </c>
    </row>
    <row r="34" spans="2:15" x14ac:dyDescent="0.25">
      <c r="B34" s="28">
        <v>0</v>
      </c>
      <c r="C34" s="29">
        <v>1.1100000000000001</v>
      </c>
      <c r="D34"/>
      <c r="E34" s="30">
        <v>6.9847000000000006E-2</v>
      </c>
      <c r="F34" s="48">
        <v>0.75878599999999996</v>
      </c>
      <c r="G34" s="32"/>
      <c r="H34" s="30">
        <v>6.9847000000000006E-2</v>
      </c>
      <c r="I34" s="48">
        <v>0.759135</v>
      </c>
      <c r="K34" s="30">
        <f t="shared" si="0"/>
        <v>0</v>
      </c>
      <c r="L34" s="31">
        <f t="shared" si="1"/>
        <v>-3.4900000000004372E-4</v>
      </c>
      <c r="M34" s="33"/>
      <c r="N34" s="31">
        <f t="shared" si="2"/>
        <v>0</v>
      </c>
      <c r="O34" s="48">
        <f t="shared" si="3"/>
        <v>-4.5994522829894559E-2</v>
      </c>
    </row>
    <row r="35" spans="2:15" x14ac:dyDescent="0.25">
      <c r="B35" s="28">
        <v>0</v>
      </c>
      <c r="C35" s="29">
        <v>1.1100000000000001</v>
      </c>
      <c r="D35"/>
      <c r="E35" s="30">
        <v>6.7871100000000004E-2</v>
      </c>
      <c r="F35" s="48">
        <v>0.67868300000000004</v>
      </c>
      <c r="G35" s="32"/>
      <c r="H35" s="30">
        <v>6.7871100000000004E-2</v>
      </c>
      <c r="I35" s="48">
        <v>0.67895700000000003</v>
      </c>
      <c r="K35" s="30">
        <f t="shared" si="0"/>
        <v>0</v>
      </c>
      <c r="L35" s="31">
        <f t="shared" si="1"/>
        <v>-2.7399999999999647E-4</v>
      </c>
      <c r="M35" s="33"/>
      <c r="N35" s="31">
        <f t="shared" si="2"/>
        <v>0</v>
      </c>
      <c r="O35" s="48">
        <f t="shared" si="3"/>
        <v>-4.0372309310826478E-2</v>
      </c>
    </row>
    <row r="36" spans="2:15" x14ac:dyDescent="0.25">
      <c r="B36" s="28">
        <v>0</v>
      </c>
      <c r="C36" s="29">
        <v>1.1100000000000001</v>
      </c>
      <c r="D36"/>
      <c r="E36" s="30">
        <v>6.7956500000000003E-2</v>
      </c>
      <c r="F36" s="48">
        <v>0.72660499999999995</v>
      </c>
      <c r="G36" s="32"/>
      <c r="H36" s="30">
        <v>6.7956500000000003E-2</v>
      </c>
      <c r="I36" s="48">
        <v>0.72691300000000003</v>
      </c>
      <c r="K36" s="30">
        <f t="shared" si="0"/>
        <v>0</v>
      </c>
      <c r="L36" s="31">
        <f t="shared" si="1"/>
        <v>-3.0800000000008598E-4</v>
      </c>
      <c r="M36" s="33"/>
      <c r="N36" s="31">
        <f t="shared" si="2"/>
        <v>0</v>
      </c>
      <c r="O36" s="48">
        <f t="shared" si="3"/>
        <v>-4.2388918325649561E-2</v>
      </c>
    </row>
    <row r="37" spans="2:15" x14ac:dyDescent="0.25">
      <c r="B37" s="35">
        <v>0</v>
      </c>
      <c r="C37" s="36">
        <v>1.1100000000000001</v>
      </c>
      <c r="D37"/>
      <c r="E37" s="37">
        <v>6.4601699999999998E-2</v>
      </c>
      <c r="F37" s="49">
        <v>0.75117999999999996</v>
      </c>
      <c r="G37" s="39"/>
      <c r="H37" s="37">
        <v>6.4601699999999998E-2</v>
      </c>
      <c r="I37" s="49">
        <v>0.75147900000000001</v>
      </c>
      <c r="K37" s="37">
        <f t="shared" si="0"/>
        <v>0</v>
      </c>
      <c r="L37" s="38">
        <f t="shared" si="1"/>
        <v>-2.9900000000004923E-4</v>
      </c>
      <c r="M37" s="40"/>
      <c r="N37" s="38">
        <f t="shared" si="2"/>
        <v>0</v>
      </c>
      <c r="O37" s="49">
        <f t="shared" si="3"/>
        <v>-3.9804041641157813E-2</v>
      </c>
    </row>
  </sheetData>
  <conditionalFormatting sqref="N9:O37">
    <cfRule type="colorScale" priority="1">
      <colorScale>
        <cfvo type="num" val="-100"/>
        <cfvo type="percentile" val="50"/>
        <cfvo type="num" val="100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7"/>
  <sheetViews>
    <sheetView workbookViewId="0">
      <selection activeCell="B3" sqref="B3"/>
    </sheetView>
  </sheetViews>
  <sheetFormatPr defaultRowHeight="15" x14ac:dyDescent="0.25"/>
  <sheetData>
    <row r="1" spans="2:15" x14ac:dyDescent="0.25">
      <c r="B1" s="2"/>
      <c r="C1" s="2"/>
      <c r="D1" s="3"/>
      <c r="E1" s="2"/>
      <c r="F1" s="2"/>
      <c r="G1" s="3"/>
      <c r="H1" s="2"/>
      <c r="I1" s="2"/>
      <c r="J1" s="3"/>
      <c r="K1" s="15"/>
      <c r="L1" s="15"/>
      <c r="N1" s="2"/>
      <c r="O1" s="2"/>
    </row>
    <row r="2" spans="2:15" x14ac:dyDescent="0.25">
      <c r="B2" s="4" t="s">
        <v>31</v>
      </c>
      <c r="C2" s="2"/>
      <c r="D2" s="3"/>
      <c r="E2" s="2"/>
      <c r="F2" s="2"/>
      <c r="G2" s="3"/>
      <c r="H2" s="2"/>
      <c r="I2" s="2"/>
      <c r="J2" s="3"/>
      <c r="K2" s="15"/>
      <c r="L2" s="15"/>
      <c r="N2" s="2"/>
      <c r="O2" s="2"/>
    </row>
    <row r="3" spans="2:15" x14ac:dyDescent="0.25">
      <c r="B3" s="4"/>
      <c r="C3" s="2"/>
      <c r="D3" s="3"/>
      <c r="E3" s="2"/>
      <c r="F3" s="2"/>
      <c r="G3" s="3"/>
      <c r="H3" s="2"/>
      <c r="I3" s="2"/>
      <c r="J3" s="3"/>
      <c r="K3" s="15"/>
      <c r="L3" s="15"/>
      <c r="N3" s="2"/>
      <c r="O3" s="2"/>
    </row>
    <row r="4" spans="2:15" x14ac:dyDescent="0.25">
      <c r="B4" s="2"/>
      <c r="C4" s="2"/>
      <c r="D4" s="3"/>
      <c r="E4" s="2"/>
      <c r="F4" s="2"/>
      <c r="G4" s="3"/>
      <c r="H4" s="2"/>
      <c r="I4" s="2"/>
      <c r="J4" s="3"/>
      <c r="K4" s="15"/>
      <c r="L4" s="15"/>
      <c r="N4" s="2"/>
      <c r="O4" s="2"/>
    </row>
    <row r="5" spans="2:15" x14ac:dyDescent="0.25">
      <c r="B5" s="43" t="s">
        <v>17</v>
      </c>
      <c r="C5" s="19"/>
      <c r="D5" s="3"/>
      <c r="E5" s="43" t="s">
        <v>24</v>
      </c>
      <c r="F5" s="18"/>
      <c r="G5" s="20"/>
      <c r="H5" s="17" t="s">
        <v>24</v>
      </c>
      <c r="I5" s="19"/>
      <c r="J5" s="3"/>
      <c r="K5" s="21"/>
      <c r="L5" s="22"/>
      <c r="M5" s="23"/>
      <c r="N5" s="18"/>
      <c r="O5" s="19"/>
    </row>
    <row r="6" spans="2:15" x14ac:dyDescent="0.25">
      <c r="B6" s="44"/>
      <c r="C6" s="46"/>
      <c r="D6" s="6"/>
      <c r="E6" s="47" t="s">
        <v>25</v>
      </c>
      <c r="F6" s="45"/>
      <c r="G6" s="24"/>
      <c r="H6" s="42" t="s">
        <v>26</v>
      </c>
      <c r="I6" s="46"/>
      <c r="J6" s="5"/>
      <c r="K6" s="47" t="s">
        <v>27</v>
      </c>
      <c r="L6" s="45"/>
      <c r="M6" s="25"/>
      <c r="N6" s="41" t="s">
        <v>28</v>
      </c>
      <c r="O6" s="46"/>
    </row>
    <row r="7" spans="2:15" x14ac:dyDescent="0.25">
      <c r="B7" s="26" t="s">
        <v>1</v>
      </c>
      <c r="C7" s="27" t="s">
        <v>2</v>
      </c>
      <c r="D7" s="6"/>
      <c r="E7" s="26" t="s">
        <v>1</v>
      </c>
      <c r="F7" s="7" t="s">
        <v>2</v>
      </c>
      <c r="G7" s="24"/>
      <c r="H7" s="7" t="s">
        <v>1</v>
      </c>
      <c r="I7" s="27" t="s">
        <v>2</v>
      </c>
      <c r="J7" s="5"/>
      <c r="K7" s="26" t="s">
        <v>29</v>
      </c>
      <c r="L7" s="7" t="s">
        <v>30</v>
      </c>
      <c r="M7" s="25"/>
      <c r="N7" s="8" t="s">
        <v>1</v>
      </c>
      <c r="O7" s="50" t="s">
        <v>2</v>
      </c>
    </row>
    <row r="8" spans="2:15" x14ac:dyDescent="0.25">
      <c r="B8" s="28">
        <v>0</v>
      </c>
      <c r="C8" s="29">
        <v>0</v>
      </c>
      <c r="E8" s="30">
        <v>0</v>
      </c>
      <c r="F8" s="31">
        <v>0</v>
      </c>
      <c r="G8" s="32"/>
      <c r="H8" s="31">
        <v>0</v>
      </c>
      <c r="I8" s="48">
        <v>0</v>
      </c>
      <c r="J8" s="3"/>
      <c r="K8" s="30">
        <f t="shared" ref="K8:K37" si="0">E8-H8</f>
        <v>0</v>
      </c>
      <c r="L8" s="31">
        <f t="shared" ref="L8:L37" si="1">F8-I8</f>
        <v>0</v>
      </c>
      <c r="M8" s="33"/>
      <c r="N8" s="34">
        <v>0</v>
      </c>
      <c r="O8" s="51">
        <v>0</v>
      </c>
    </row>
    <row r="9" spans="2:15" x14ac:dyDescent="0.25">
      <c r="B9" s="28">
        <v>0</v>
      </c>
      <c r="C9" s="29">
        <v>0</v>
      </c>
      <c r="E9" s="30">
        <v>-6.1966099999999998E-12</v>
      </c>
      <c r="F9" s="31">
        <v>-1.9174199999999999E-15</v>
      </c>
      <c r="G9" s="32"/>
      <c r="H9" s="31">
        <v>-6.1966099999999998E-12</v>
      </c>
      <c r="I9" s="48">
        <v>-1.9174199999999999E-15</v>
      </c>
      <c r="J9" s="3"/>
      <c r="K9" s="30">
        <f t="shared" si="0"/>
        <v>0</v>
      </c>
      <c r="L9" s="31">
        <f t="shared" si="1"/>
        <v>0</v>
      </c>
      <c r="M9" s="33"/>
      <c r="N9" s="31">
        <f t="shared" ref="N9:N37" si="2">100*K9/E9</f>
        <v>0</v>
      </c>
      <c r="O9" s="48">
        <f t="shared" ref="O9:O37" si="3">100*L9/F9</f>
        <v>0</v>
      </c>
    </row>
    <row r="10" spans="2:15" x14ac:dyDescent="0.25">
      <c r="B10" s="28">
        <v>0</v>
      </c>
      <c r="C10" s="29">
        <v>1E-3</v>
      </c>
      <c r="E10" s="30">
        <v>1.21378E-4</v>
      </c>
      <c r="F10" s="31">
        <v>2.92465E-4</v>
      </c>
      <c r="G10" s="32"/>
      <c r="H10" s="31">
        <v>1.21378E-4</v>
      </c>
      <c r="I10" s="48">
        <v>3.07855E-4</v>
      </c>
      <c r="J10" s="3"/>
      <c r="K10" s="30">
        <f t="shared" si="0"/>
        <v>0</v>
      </c>
      <c r="L10" s="31">
        <f t="shared" si="1"/>
        <v>-1.539E-5</v>
      </c>
      <c r="M10" s="33"/>
      <c r="N10" s="31">
        <f t="shared" si="2"/>
        <v>0</v>
      </c>
      <c r="O10" s="48">
        <f t="shared" si="3"/>
        <v>-5.2621681226813468</v>
      </c>
    </row>
    <row r="11" spans="2:15" x14ac:dyDescent="0.25">
      <c r="B11" s="28">
        <v>0</v>
      </c>
      <c r="C11" s="29">
        <v>4.7E-2</v>
      </c>
      <c r="E11" s="30">
        <v>-2.3380499999999999E-2</v>
      </c>
      <c r="F11" s="31">
        <v>4.5458999999999999E-2</v>
      </c>
      <c r="G11" s="32"/>
      <c r="H11" s="31">
        <v>-2.3380499999999999E-2</v>
      </c>
      <c r="I11" s="48">
        <v>4.6055600000000002E-2</v>
      </c>
      <c r="J11" s="3"/>
      <c r="K11" s="30">
        <f t="shared" si="0"/>
        <v>0</v>
      </c>
      <c r="L11" s="31">
        <f t="shared" si="1"/>
        <v>-5.9660000000000268E-4</v>
      </c>
      <c r="M11" s="33"/>
      <c r="N11" s="31">
        <f t="shared" si="2"/>
        <v>0</v>
      </c>
      <c r="O11" s="48">
        <f t="shared" si="3"/>
        <v>-1.3123913856442129</v>
      </c>
    </row>
    <row r="12" spans="2:15" x14ac:dyDescent="0.25">
      <c r="B12" s="28">
        <v>0</v>
      </c>
      <c r="C12" s="29">
        <v>9.7000000000000003E-2</v>
      </c>
      <c r="E12" s="30">
        <v>4.8321700000000002E-3</v>
      </c>
      <c r="F12" s="31">
        <v>9.9329299999999995E-2</v>
      </c>
      <c r="G12" s="32"/>
      <c r="H12" s="31">
        <v>4.8321700000000002E-3</v>
      </c>
      <c r="I12" s="48">
        <v>0.100337</v>
      </c>
      <c r="J12" s="3"/>
      <c r="K12" s="30">
        <f t="shared" si="0"/>
        <v>0</v>
      </c>
      <c r="L12" s="31">
        <f t="shared" si="1"/>
        <v>-1.0077000000000003E-3</v>
      </c>
      <c r="M12" s="33"/>
      <c r="N12" s="31">
        <f t="shared" si="2"/>
        <v>0</v>
      </c>
      <c r="O12" s="48">
        <f t="shared" si="3"/>
        <v>-1.014504280207351</v>
      </c>
    </row>
    <row r="13" spans="2:15" x14ac:dyDescent="0.25">
      <c r="B13" s="28">
        <v>0</v>
      </c>
      <c r="C13" s="29">
        <v>0.14699999999999999</v>
      </c>
      <c r="E13" s="30">
        <v>2.3383299999999999E-2</v>
      </c>
      <c r="F13" s="31">
        <v>0.15857099999999999</v>
      </c>
      <c r="G13" s="32"/>
      <c r="H13" s="31">
        <v>2.3383299999999999E-2</v>
      </c>
      <c r="I13" s="48">
        <v>0.159667</v>
      </c>
      <c r="J13" s="3"/>
      <c r="K13" s="30">
        <f t="shared" si="0"/>
        <v>0</v>
      </c>
      <c r="L13" s="31">
        <f t="shared" si="1"/>
        <v>-1.0960000000000136E-3</v>
      </c>
      <c r="M13" s="33"/>
      <c r="N13" s="31">
        <f t="shared" si="2"/>
        <v>0</v>
      </c>
      <c r="O13" s="48">
        <f t="shared" si="3"/>
        <v>-0.69117303920642092</v>
      </c>
    </row>
    <row r="14" spans="2:15" x14ac:dyDescent="0.25">
      <c r="B14" s="28">
        <v>0</v>
      </c>
      <c r="C14" s="29">
        <v>0.19700000000000001</v>
      </c>
      <c r="E14" s="30">
        <v>1.6091399999999999E-2</v>
      </c>
      <c r="F14" s="31">
        <v>0.198101</v>
      </c>
      <c r="G14" s="32"/>
      <c r="H14" s="31">
        <v>1.6091399999999999E-2</v>
      </c>
      <c r="I14" s="48">
        <v>0.19937199999999999</v>
      </c>
      <c r="J14" s="3"/>
      <c r="K14" s="30">
        <f t="shared" si="0"/>
        <v>0</v>
      </c>
      <c r="L14" s="31">
        <f t="shared" si="1"/>
        <v>-1.2709999999999944E-3</v>
      </c>
      <c r="M14" s="33"/>
      <c r="N14" s="31">
        <f t="shared" si="2"/>
        <v>0</v>
      </c>
      <c r="O14" s="48">
        <f t="shared" si="3"/>
        <v>-0.64159191523515502</v>
      </c>
    </row>
    <row r="15" spans="2:15" x14ac:dyDescent="0.25">
      <c r="B15" s="28">
        <v>0</v>
      </c>
      <c r="C15" s="29">
        <v>0.247</v>
      </c>
      <c r="E15" s="30">
        <v>1.6883800000000001E-2</v>
      </c>
      <c r="F15" s="31">
        <v>0.28087499999999999</v>
      </c>
      <c r="G15" s="32"/>
      <c r="H15" s="31">
        <v>1.6883800000000001E-2</v>
      </c>
      <c r="I15" s="48">
        <v>0.28201999999999999</v>
      </c>
      <c r="J15" s="3"/>
      <c r="K15" s="30">
        <f t="shared" si="0"/>
        <v>0</v>
      </c>
      <c r="L15" s="31">
        <f t="shared" si="1"/>
        <v>-1.1450000000000071E-3</v>
      </c>
      <c r="M15" s="33"/>
      <c r="N15" s="31">
        <f t="shared" si="2"/>
        <v>0</v>
      </c>
      <c r="O15" s="48">
        <f t="shared" si="3"/>
        <v>-0.40765465064530743</v>
      </c>
    </row>
    <row r="16" spans="2:15" x14ac:dyDescent="0.25">
      <c r="B16" s="28">
        <v>0</v>
      </c>
      <c r="C16" s="29">
        <v>0.29699999999999999</v>
      </c>
      <c r="E16" s="30">
        <v>1.34448E-2</v>
      </c>
      <c r="F16" s="31">
        <v>0.33091799999999999</v>
      </c>
      <c r="G16" s="32"/>
      <c r="H16" s="31">
        <v>1.34448E-2</v>
      </c>
      <c r="I16" s="48">
        <v>0.33168300000000001</v>
      </c>
      <c r="J16" s="3"/>
      <c r="K16" s="30">
        <f t="shared" si="0"/>
        <v>0</v>
      </c>
      <c r="L16" s="31">
        <f t="shared" si="1"/>
        <v>-7.6500000000001567E-4</v>
      </c>
      <c r="M16" s="33"/>
      <c r="N16" s="31">
        <f t="shared" si="2"/>
        <v>0</v>
      </c>
      <c r="O16" s="48">
        <f t="shared" si="3"/>
        <v>-0.23117509473646514</v>
      </c>
    </row>
    <row r="17" spans="2:15" x14ac:dyDescent="0.25">
      <c r="B17" s="28">
        <v>0</v>
      </c>
      <c r="C17" s="29">
        <v>0.34699999999999998</v>
      </c>
      <c r="E17" s="30">
        <v>-1.8783399999999999E-2</v>
      </c>
      <c r="F17" s="31">
        <v>0.37323899999999999</v>
      </c>
      <c r="G17" s="32"/>
      <c r="H17" s="31">
        <v>-1.8783399999999999E-2</v>
      </c>
      <c r="I17" s="48">
        <v>0.37439</v>
      </c>
      <c r="J17" s="3"/>
      <c r="K17" s="30">
        <f t="shared" si="0"/>
        <v>0</v>
      </c>
      <c r="L17" s="31">
        <f t="shared" si="1"/>
        <v>-1.1510000000000131E-3</v>
      </c>
      <c r="M17" s="33"/>
      <c r="N17" s="31">
        <f t="shared" si="2"/>
        <v>0</v>
      </c>
      <c r="O17" s="48">
        <f t="shared" si="3"/>
        <v>-0.30838149282363664</v>
      </c>
    </row>
    <row r="18" spans="2:15" x14ac:dyDescent="0.25">
      <c r="B18" s="28">
        <v>0</v>
      </c>
      <c r="C18" s="29">
        <v>0.39700000000000002</v>
      </c>
      <c r="E18" s="30">
        <v>4.5877599999999998E-2</v>
      </c>
      <c r="F18" s="31">
        <v>0.47563499999999997</v>
      </c>
      <c r="G18" s="32"/>
      <c r="H18" s="31">
        <v>4.5877599999999998E-2</v>
      </c>
      <c r="I18" s="48">
        <v>0.47652099999999997</v>
      </c>
      <c r="J18" s="3"/>
      <c r="K18" s="30">
        <f t="shared" si="0"/>
        <v>0</v>
      </c>
      <c r="L18" s="31">
        <f t="shared" si="1"/>
        <v>-8.859999999999979E-4</v>
      </c>
      <c r="M18" s="33"/>
      <c r="N18" s="31">
        <f t="shared" si="2"/>
        <v>0</v>
      </c>
      <c r="O18" s="48">
        <f t="shared" si="3"/>
        <v>-0.18627729246165609</v>
      </c>
    </row>
    <row r="19" spans="2:15" x14ac:dyDescent="0.25">
      <c r="B19" s="28">
        <v>0</v>
      </c>
      <c r="C19" s="29">
        <v>0.44700000000000001</v>
      </c>
      <c r="E19" s="30">
        <v>2.6908899999999999E-2</v>
      </c>
      <c r="F19" s="31">
        <v>0.46464299999999997</v>
      </c>
      <c r="G19" s="32"/>
      <c r="H19" s="31">
        <v>2.6908899999999999E-2</v>
      </c>
      <c r="I19" s="48">
        <v>0.46551900000000002</v>
      </c>
      <c r="J19" s="3"/>
      <c r="K19" s="30">
        <f t="shared" si="0"/>
        <v>0</v>
      </c>
      <c r="L19" s="31">
        <f t="shared" si="1"/>
        <v>-8.7600000000004341E-4</v>
      </c>
      <c r="M19" s="33"/>
      <c r="N19" s="31">
        <f t="shared" si="2"/>
        <v>0</v>
      </c>
      <c r="O19" s="48">
        <f t="shared" si="3"/>
        <v>-0.18853184057438582</v>
      </c>
    </row>
    <row r="20" spans="2:15" x14ac:dyDescent="0.25">
      <c r="B20" s="28">
        <v>0</v>
      </c>
      <c r="C20" s="29">
        <v>0.497</v>
      </c>
      <c r="E20" s="30">
        <v>3.5493799999999999E-2</v>
      </c>
      <c r="F20" s="31">
        <v>0.55796599999999996</v>
      </c>
      <c r="G20" s="32"/>
      <c r="H20" s="31">
        <v>3.5493799999999999E-2</v>
      </c>
      <c r="I20" s="48">
        <v>0.55902799999999997</v>
      </c>
      <c r="J20" s="3"/>
      <c r="K20" s="30">
        <f t="shared" si="0"/>
        <v>0</v>
      </c>
      <c r="L20" s="31">
        <f t="shared" si="1"/>
        <v>-1.0620000000000074E-3</v>
      </c>
      <c r="M20" s="33"/>
      <c r="N20" s="31">
        <f t="shared" si="2"/>
        <v>0</v>
      </c>
      <c r="O20" s="48">
        <f t="shared" si="3"/>
        <v>-0.19033417806819905</v>
      </c>
    </row>
    <row r="21" spans="2:15" x14ac:dyDescent="0.25">
      <c r="B21" s="28">
        <v>0</v>
      </c>
      <c r="C21" s="29">
        <v>0.54700000000000004</v>
      </c>
      <c r="E21" s="30">
        <v>7.1880600000000003E-2</v>
      </c>
      <c r="F21" s="31">
        <v>0.62641899999999995</v>
      </c>
      <c r="G21" s="32"/>
      <c r="H21" s="31">
        <v>7.1880600000000003E-2</v>
      </c>
      <c r="I21" s="48">
        <v>0.62739199999999995</v>
      </c>
      <c r="J21" s="3"/>
      <c r="K21" s="30">
        <f t="shared" si="0"/>
        <v>0</v>
      </c>
      <c r="L21" s="31">
        <f t="shared" si="1"/>
        <v>-9.7300000000000164E-4</v>
      </c>
      <c r="M21" s="33"/>
      <c r="N21" s="31">
        <f t="shared" si="2"/>
        <v>0</v>
      </c>
      <c r="O21" s="48">
        <f t="shared" si="3"/>
        <v>-0.15532734479637458</v>
      </c>
    </row>
    <row r="22" spans="2:15" x14ac:dyDescent="0.25">
      <c r="B22" s="28">
        <v>0</v>
      </c>
      <c r="C22" s="29">
        <v>0.59699999999999998</v>
      </c>
      <c r="E22" s="30">
        <v>4.9201399999999999E-2</v>
      </c>
      <c r="F22" s="31">
        <v>0.68007200000000001</v>
      </c>
      <c r="G22" s="32"/>
      <c r="H22" s="31">
        <v>4.9201399999999999E-2</v>
      </c>
      <c r="I22" s="48">
        <v>0.68097300000000005</v>
      </c>
      <c r="J22" s="3"/>
      <c r="K22" s="30">
        <f t="shared" si="0"/>
        <v>0</v>
      </c>
      <c r="L22" s="31">
        <f t="shared" si="1"/>
        <v>-9.0100000000004066E-4</v>
      </c>
      <c r="M22" s="33"/>
      <c r="N22" s="31">
        <f t="shared" si="2"/>
        <v>0</v>
      </c>
      <c r="O22" s="48">
        <f t="shared" si="3"/>
        <v>-0.13248597207355112</v>
      </c>
    </row>
    <row r="23" spans="2:15" x14ac:dyDescent="0.25">
      <c r="B23" s="28">
        <v>0</v>
      </c>
      <c r="C23" s="29">
        <v>0.64700000000000002</v>
      </c>
      <c r="E23" s="30">
        <v>7.5787900000000005E-2</v>
      </c>
      <c r="F23" s="31">
        <v>0.734101</v>
      </c>
      <c r="G23" s="32"/>
      <c r="H23" s="31">
        <v>7.5787900000000005E-2</v>
      </c>
      <c r="I23" s="48">
        <v>0.73535099999999998</v>
      </c>
      <c r="J23" s="3"/>
      <c r="K23" s="30">
        <f t="shared" si="0"/>
        <v>0</v>
      </c>
      <c r="L23" s="31">
        <f t="shared" si="1"/>
        <v>-1.2499999999999734E-3</v>
      </c>
      <c r="M23" s="33"/>
      <c r="N23" s="31">
        <f t="shared" si="2"/>
        <v>0</v>
      </c>
      <c r="O23" s="48">
        <f t="shared" si="3"/>
        <v>-0.17027629713077266</v>
      </c>
    </row>
    <row r="24" spans="2:15" x14ac:dyDescent="0.25">
      <c r="B24" s="28">
        <v>0</v>
      </c>
      <c r="C24" s="29">
        <v>0.69699999999999995</v>
      </c>
      <c r="E24" s="30">
        <v>7.3910600000000007E-2</v>
      </c>
      <c r="F24" s="31">
        <v>0.78443499999999999</v>
      </c>
      <c r="G24" s="32"/>
      <c r="H24" s="31">
        <v>7.3910600000000007E-2</v>
      </c>
      <c r="I24" s="48">
        <v>0.78541300000000003</v>
      </c>
      <c r="J24" s="3"/>
      <c r="K24" s="30">
        <f t="shared" si="0"/>
        <v>0</v>
      </c>
      <c r="L24" s="31">
        <f t="shared" si="1"/>
        <v>-9.780000000000344E-4</v>
      </c>
      <c r="M24" s="33"/>
      <c r="N24" s="31">
        <f t="shared" si="2"/>
        <v>0</v>
      </c>
      <c r="O24" s="48">
        <f t="shared" si="3"/>
        <v>-0.12467572201648759</v>
      </c>
    </row>
    <row r="25" spans="2:15" x14ac:dyDescent="0.25">
      <c r="B25" s="28">
        <v>0</v>
      </c>
      <c r="C25" s="29">
        <v>0.749</v>
      </c>
      <c r="E25" s="30">
        <v>5.2867999999999998E-2</v>
      </c>
      <c r="F25" s="31">
        <v>0.85630399999999995</v>
      </c>
      <c r="G25" s="32"/>
      <c r="H25" s="31">
        <v>5.2867999999999998E-2</v>
      </c>
      <c r="I25" s="48">
        <v>0.85796700000000004</v>
      </c>
      <c r="J25" s="3"/>
      <c r="K25" s="30">
        <f t="shared" si="0"/>
        <v>0</v>
      </c>
      <c r="L25" s="31">
        <f t="shared" si="1"/>
        <v>-1.6630000000000811E-3</v>
      </c>
      <c r="M25" s="33"/>
      <c r="N25" s="31">
        <f t="shared" si="2"/>
        <v>0</v>
      </c>
      <c r="O25" s="48">
        <f t="shared" si="3"/>
        <v>-0.19420673032008273</v>
      </c>
    </row>
    <row r="26" spans="2:15" x14ac:dyDescent="0.25">
      <c r="B26" s="28">
        <v>0</v>
      </c>
      <c r="C26" s="29">
        <v>0.79900000000000004</v>
      </c>
      <c r="E26" s="30">
        <v>1.8879E-2</v>
      </c>
      <c r="F26" s="31">
        <v>0.55218299999999998</v>
      </c>
      <c r="G26" s="32"/>
      <c r="H26" s="31">
        <v>1.8879E-2</v>
      </c>
      <c r="I26" s="48">
        <v>0.55301699999999998</v>
      </c>
      <c r="J26" s="3"/>
      <c r="K26" s="30">
        <f t="shared" si="0"/>
        <v>0</v>
      </c>
      <c r="L26" s="31">
        <f t="shared" si="1"/>
        <v>-8.3400000000000141E-4</v>
      </c>
      <c r="M26" s="33"/>
      <c r="N26" s="31">
        <f t="shared" si="2"/>
        <v>0</v>
      </c>
      <c r="O26" s="48">
        <f t="shared" si="3"/>
        <v>-0.15103688451111341</v>
      </c>
    </row>
    <row r="27" spans="2:15" x14ac:dyDescent="0.25">
      <c r="B27" s="28">
        <v>0</v>
      </c>
      <c r="C27" s="29">
        <v>0.84599999999999997</v>
      </c>
      <c r="E27" s="30">
        <v>1.70768E-2</v>
      </c>
      <c r="F27" s="31">
        <v>0.79311100000000001</v>
      </c>
      <c r="G27" s="32"/>
      <c r="H27" s="31">
        <v>1.70768E-2</v>
      </c>
      <c r="I27" s="48">
        <v>0.79395499999999997</v>
      </c>
      <c r="J27" s="3"/>
      <c r="K27" s="30">
        <f t="shared" si="0"/>
        <v>0</v>
      </c>
      <c r="L27" s="31">
        <f t="shared" si="1"/>
        <v>-8.439999999999559E-4</v>
      </c>
      <c r="M27" s="33"/>
      <c r="N27" s="31">
        <f t="shared" si="2"/>
        <v>0</v>
      </c>
      <c r="O27" s="48">
        <f t="shared" si="3"/>
        <v>-0.10641637803535141</v>
      </c>
    </row>
    <row r="28" spans="2:15" x14ac:dyDescent="0.25">
      <c r="B28" s="28">
        <v>0</v>
      </c>
      <c r="C28" s="29">
        <v>0.90100000000000002</v>
      </c>
      <c r="E28" s="30">
        <v>-5.9083199999999999E-3</v>
      </c>
      <c r="F28" s="31">
        <v>0.82406199999999996</v>
      </c>
      <c r="G28" s="32"/>
      <c r="H28" s="31">
        <v>-5.9083199999999999E-3</v>
      </c>
      <c r="I28" s="48">
        <v>0.82508599999999999</v>
      </c>
      <c r="J28" s="3"/>
      <c r="K28" s="30">
        <f t="shared" si="0"/>
        <v>0</v>
      </c>
      <c r="L28" s="31">
        <f t="shared" si="1"/>
        <v>-1.0240000000000249E-3</v>
      </c>
      <c r="M28" s="33"/>
      <c r="N28" s="31">
        <f t="shared" si="2"/>
        <v>0</v>
      </c>
      <c r="O28" s="48">
        <f t="shared" si="3"/>
        <v>-0.12426249481228657</v>
      </c>
    </row>
    <row r="29" spans="2:15" x14ac:dyDescent="0.25">
      <c r="B29" s="28">
        <v>0</v>
      </c>
      <c r="C29" s="29">
        <v>0.94799999999999995</v>
      </c>
      <c r="E29" s="30">
        <v>3.45028E-2</v>
      </c>
      <c r="F29" s="31">
        <v>0.92105899999999996</v>
      </c>
      <c r="G29" s="32"/>
      <c r="H29" s="31">
        <v>3.45028E-2</v>
      </c>
      <c r="I29" s="48">
        <v>0.92201599999999995</v>
      </c>
      <c r="J29" s="3"/>
      <c r="K29" s="30">
        <f t="shared" si="0"/>
        <v>0</v>
      </c>
      <c r="L29" s="31">
        <f t="shared" si="1"/>
        <v>-9.5699999999998564E-4</v>
      </c>
      <c r="M29" s="33"/>
      <c r="N29" s="31">
        <f t="shared" si="2"/>
        <v>0</v>
      </c>
      <c r="O29" s="48">
        <f t="shared" si="3"/>
        <v>-0.10390213873378205</v>
      </c>
    </row>
    <row r="30" spans="2:15" x14ac:dyDescent="0.25">
      <c r="B30" s="28">
        <v>0</v>
      </c>
      <c r="C30" s="29">
        <v>0.998</v>
      </c>
      <c r="E30" s="30">
        <v>3.4403000000000003E-2</v>
      </c>
      <c r="F30" s="31">
        <v>0.63815500000000003</v>
      </c>
      <c r="G30" s="32"/>
      <c r="H30" s="31">
        <v>3.4403000000000003E-2</v>
      </c>
      <c r="I30" s="48">
        <v>0.63893299999999997</v>
      </c>
      <c r="J30" s="3"/>
      <c r="K30" s="30">
        <f t="shared" si="0"/>
        <v>0</v>
      </c>
      <c r="L30" s="31">
        <f t="shared" si="1"/>
        <v>-7.779999999999454E-4</v>
      </c>
      <c r="M30" s="33"/>
      <c r="N30" s="31">
        <f t="shared" si="2"/>
        <v>0</v>
      </c>
      <c r="O30" s="48">
        <f t="shared" si="3"/>
        <v>-0.12191395507360209</v>
      </c>
    </row>
    <row r="31" spans="2:15" x14ac:dyDescent="0.25">
      <c r="B31" s="28">
        <v>0</v>
      </c>
      <c r="C31" s="29">
        <v>1.048</v>
      </c>
      <c r="E31" s="30">
        <v>5.16239E-2</v>
      </c>
      <c r="F31" s="31">
        <v>0.74902500000000005</v>
      </c>
      <c r="G31" s="32"/>
      <c r="H31" s="31">
        <v>5.16239E-2</v>
      </c>
      <c r="I31" s="48">
        <v>0.74985500000000005</v>
      </c>
      <c r="J31" s="3"/>
      <c r="K31" s="30">
        <f t="shared" si="0"/>
        <v>0</v>
      </c>
      <c r="L31" s="31">
        <f t="shared" si="1"/>
        <v>-8.2999999999999741E-4</v>
      </c>
      <c r="M31" s="33"/>
      <c r="N31" s="31">
        <f t="shared" si="2"/>
        <v>0</v>
      </c>
      <c r="O31" s="48">
        <f t="shared" si="3"/>
        <v>-0.1108107206034508</v>
      </c>
    </row>
    <row r="32" spans="2:15" x14ac:dyDescent="0.25">
      <c r="B32" s="28">
        <v>0</v>
      </c>
      <c r="C32" s="29">
        <v>1.0980000000000001</v>
      </c>
      <c r="E32" s="30">
        <v>6.79173E-2</v>
      </c>
      <c r="F32" s="31">
        <v>0.81466000000000005</v>
      </c>
      <c r="G32" s="32"/>
      <c r="H32" s="31">
        <v>6.79173E-2</v>
      </c>
      <c r="I32" s="48">
        <v>0.81549300000000002</v>
      </c>
      <c r="J32" s="3"/>
      <c r="K32" s="30">
        <f t="shared" si="0"/>
        <v>0</v>
      </c>
      <c r="L32" s="31">
        <f t="shared" si="1"/>
        <v>-8.3299999999997265E-4</v>
      </c>
      <c r="M32" s="33"/>
      <c r="N32" s="31">
        <f t="shared" si="2"/>
        <v>0</v>
      </c>
      <c r="O32" s="48">
        <f t="shared" si="3"/>
        <v>-0.10225124591853935</v>
      </c>
    </row>
    <row r="33" spans="2:15" x14ac:dyDescent="0.25">
      <c r="B33" s="28">
        <v>0</v>
      </c>
      <c r="C33" s="29">
        <v>1.1100000000000001</v>
      </c>
      <c r="E33" s="30">
        <v>7.2323100000000001E-2</v>
      </c>
      <c r="F33" s="31">
        <v>0.66396999999999995</v>
      </c>
      <c r="G33" s="32"/>
      <c r="H33" s="31">
        <v>7.2323100000000001E-2</v>
      </c>
      <c r="I33" s="48">
        <v>0.66434599999999999</v>
      </c>
      <c r="J33" s="3"/>
      <c r="K33" s="30">
        <f t="shared" si="0"/>
        <v>0</v>
      </c>
      <c r="L33" s="31">
        <f t="shared" si="1"/>
        <v>-3.7600000000004297E-4</v>
      </c>
      <c r="M33" s="33"/>
      <c r="N33" s="31">
        <f t="shared" si="2"/>
        <v>0</v>
      </c>
      <c r="O33" s="48">
        <f t="shared" si="3"/>
        <v>-5.6629064566176633E-2</v>
      </c>
    </row>
    <row r="34" spans="2:15" x14ac:dyDescent="0.25">
      <c r="B34" s="28">
        <v>0</v>
      </c>
      <c r="C34" s="29">
        <v>1.1100000000000001</v>
      </c>
      <c r="E34" s="30">
        <v>7.2484499999999993E-2</v>
      </c>
      <c r="F34" s="31">
        <v>0.76179799999999998</v>
      </c>
      <c r="G34" s="32"/>
      <c r="H34" s="31">
        <v>7.2484499999999993E-2</v>
      </c>
      <c r="I34" s="48">
        <v>0.76215999999999995</v>
      </c>
      <c r="J34" s="3"/>
      <c r="K34" s="30">
        <f t="shared" si="0"/>
        <v>0</v>
      </c>
      <c r="L34" s="31">
        <f t="shared" si="1"/>
        <v>-3.6199999999997345E-4</v>
      </c>
      <c r="M34" s="33"/>
      <c r="N34" s="31">
        <f t="shared" si="2"/>
        <v>0</v>
      </c>
      <c r="O34" s="48">
        <f t="shared" si="3"/>
        <v>-4.7519158622098441E-2</v>
      </c>
    </row>
    <row r="35" spans="2:15" x14ac:dyDescent="0.25">
      <c r="B35" s="28">
        <v>0</v>
      </c>
      <c r="C35" s="29">
        <v>1.1100000000000001</v>
      </c>
      <c r="E35" s="30">
        <v>6.9220900000000002E-2</v>
      </c>
      <c r="F35" s="31">
        <v>0.72509699999999999</v>
      </c>
      <c r="G35" s="32"/>
      <c r="H35" s="31">
        <v>6.9220900000000002E-2</v>
      </c>
      <c r="I35" s="48">
        <v>0.72544399999999998</v>
      </c>
      <c r="J35" s="3"/>
      <c r="K35" s="30">
        <f t="shared" si="0"/>
        <v>0</v>
      </c>
      <c r="L35" s="31">
        <f t="shared" si="1"/>
        <v>-3.4699999999998621E-4</v>
      </c>
      <c r="M35" s="33"/>
      <c r="N35" s="31">
        <f t="shared" si="2"/>
        <v>0</v>
      </c>
      <c r="O35" s="48">
        <f t="shared" si="3"/>
        <v>-4.7855666207415867E-2</v>
      </c>
    </row>
    <row r="36" spans="2:15" x14ac:dyDescent="0.25">
      <c r="B36" s="28">
        <v>0</v>
      </c>
      <c r="C36" s="29">
        <v>1.1100000000000001</v>
      </c>
      <c r="E36" s="30">
        <v>7.1937399999999999E-2</v>
      </c>
      <c r="F36" s="31">
        <v>0.76711200000000002</v>
      </c>
      <c r="G36" s="32"/>
      <c r="H36" s="31">
        <v>7.1937399999999999E-2</v>
      </c>
      <c r="I36" s="48">
        <v>0.76744299999999999</v>
      </c>
      <c r="J36" s="3"/>
      <c r="K36" s="30">
        <f t="shared" si="0"/>
        <v>0</v>
      </c>
      <c r="L36" s="31">
        <f t="shared" si="1"/>
        <v>-3.3099999999997021E-4</v>
      </c>
      <c r="M36" s="33"/>
      <c r="N36" s="31">
        <f t="shared" si="2"/>
        <v>0</v>
      </c>
      <c r="O36" s="48">
        <f t="shared" si="3"/>
        <v>-4.3148849190205625E-2</v>
      </c>
    </row>
    <row r="37" spans="2:15" x14ac:dyDescent="0.25">
      <c r="B37" s="35">
        <v>0</v>
      </c>
      <c r="C37" s="36">
        <v>1.1100000000000001</v>
      </c>
      <c r="E37" s="37">
        <v>7.0796399999999995E-2</v>
      </c>
      <c r="F37" s="38">
        <v>0.76943099999999998</v>
      </c>
      <c r="G37" s="39"/>
      <c r="H37" s="38">
        <v>7.0796399999999995E-2</v>
      </c>
      <c r="I37" s="49">
        <v>0.76974600000000004</v>
      </c>
      <c r="J37" s="3"/>
      <c r="K37" s="37">
        <f t="shared" si="0"/>
        <v>0</v>
      </c>
      <c r="L37" s="38">
        <f t="shared" si="1"/>
        <v>-3.1500000000006523E-4</v>
      </c>
      <c r="M37" s="40"/>
      <c r="N37" s="38">
        <f t="shared" si="2"/>
        <v>0</v>
      </c>
      <c r="O37" s="49">
        <f t="shared" si="3"/>
        <v>-4.0939343488898321E-2</v>
      </c>
    </row>
  </sheetData>
  <conditionalFormatting sqref="N9:O37">
    <cfRule type="colorScale" priority="1">
      <colorScale>
        <cfvo type="num" val="-100"/>
        <cfvo type="percentile" val="50"/>
        <cfvo type="num" val="100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ZeroOdom</vt:lpstr>
      <vt:lpstr>NonZeroOdom</vt:lpstr>
      <vt:lpstr>ROS Zero VS NonZero</vt:lpstr>
      <vt:lpstr>WIN Zero VS NonZero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</dc:creator>
  <cp:lastModifiedBy>Saeed</cp:lastModifiedBy>
  <dcterms:created xsi:type="dcterms:W3CDTF">2011-11-16T16:45:51Z</dcterms:created>
  <dcterms:modified xsi:type="dcterms:W3CDTF">2011-12-06T16:30:15Z</dcterms:modified>
</cp:coreProperties>
</file>